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ábio\Desktop\"/>
    </mc:Choice>
  </mc:AlternateContent>
  <xr:revisionPtr revIDLastSave="0" documentId="13_ncr:1_{570BC937-5D22-43B8-B7CF-92C784190725}" xr6:coauthVersionLast="47" xr6:coauthVersionMax="47" xr10:uidLastSave="{00000000-0000-0000-0000-000000000000}"/>
  <bookViews>
    <workbookView xWindow="-103" yWindow="-103" windowWidth="16663" windowHeight="8863" activeTab="1" xr2:uid="{00000000-000D-0000-FFFF-FFFF00000000}"/>
  </bookViews>
  <sheets>
    <sheet name="Vendas" sheetId="1" r:id="rId1"/>
    <sheet name="Análises" sheetId="2" r:id="rId2"/>
    <sheet name="Estoque" sheetId="3" r:id="rId3"/>
  </sheets>
  <definedNames>
    <definedName name="_xlchart.v5.0" hidden="1">Análises!$B$6</definedName>
    <definedName name="_xlchart.v5.1" hidden="1">Análises!$B$7:$B$10</definedName>
    <definedName name="_xlchart.v5.2" hidden="1">Análises!$D$7:$D$10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14" i="2" l="1"/>
  <c r="U8" i="2"/>
  <c r="D5" i="3"/>
  <c r="D6" i="3"/>
  <c r="D7" i="3"/>
  <c r="D4" i="3"/>
  <c r="D8" i="3" s="1"/>
  <c r="A5" i="3"/>
  <c r="A6" i="3"/>
  <c r="A7" i="3"/>
  <c r="A4" i="3"/>
  <c r="D20" i="2"/>
  <c r="D21" i="2"/>
  <c r="D22" i="2"/>
  <c r="D23" i="2"/>
  <c r="D19" i="2"/>
  <c r="D14" i="2"/>
  <c r="F5" i="3" s="1"/>
  <c r="G5" i="3" s="1"/>
  <c r="H5" i="3" s="1"/>
  <c r="D15" i="2"/>
  <c r="F6" i="3" s="1"/>
  <c r="G6" i="3" s="1"/>
  <c r="H6" i="3" s="1"/>
  <c r="D16" i="2"/>
  <c r="F7" i="3" s="1"/>
  <c r="G7" i="3" s="1"/>
  <c r="H7" i="3" s="1"/>
  <c r="D13" i="2"/>
  <c r="F4" i="3" s="1"/>
  <c r="G4" i="3" s="1"/>
  <c r="H4" i="3" s="1"/>
  <c r="D8" i="2"/>
  <c r="D9" i="2"/>
  <c r="D10" i="2"/>
  <c r="D7" i="2"/>
  <c r="C20" i="2"/>
  <c r="C21" i="2"/>
  <c r="C22" i="2"/>
  <c r="C23" i="2"/>
  <c r="C19" i="2"/>
  <c r="C14" i="2"/>
  <c r="C15" i="2"/>
  <c r="C16" i="2"/>
  <c r="C13" i="2"/>
  <c r="C8" i="2"/>
  <c r="C9" i="2"/>
  <c r="C10" i="2"/>
  <c r="C7" i="2"/>
  <c r="C4" i="2"/>
  <c r="C3" i="2"/>
  <c r="U10" i="2" s="1"/>
  <c r="U12" i="2" s="1"/>
</calcChain>
</file>

<file path=xl/sharedStrings.xml><?xml version="1.0" encoding="utf-8"?>
<sst xmlns="http://schemas.openxmlformats.org/spreadsheetml/2006/main" count="86" uniqueCount="36">
  <si>
    <t>VENDEDOR(A)</t>
  </si>
  <si>
    <t>PRODUTO</t>
  </si>
  <si>
    <t>PREÇO</t>
  </si>
  <si>
    <t>ESTADO</t>
  </si>
  <si>
    <t>Android</t>
  </si>
  <si>
    <t>Minas Gerais</t>
  </si>
  <si>
    <t>Computador</t>
  </si>
  <si>
    <t>I7 Gamer</t>
  </si>
  <si>
    <t>Amazonas</t>
  </si>
  <si>
    <t>iPhone</t>
  </si>
  <si>
    <t>Faturamento Total:</t>
  </si>
  <si>
    <t>Média de Faturamento:</t>
  </si>
  <si>
    <t>Faturamento Regional:</t>
  </si>
  <si>
    <t>São Paulo</t>
  </si>
  <si>
    <t>Bahia</t>
  </si>
  <si>
    <t>Michelangelo</t>
  </si>
  <si>
    <t>Donatello</t>
  </si>
  <si>
    <t>Leonardo</t>
  </si>
  <si>
    <t>Rafael</t>
  </si>
  <si>
    <t>Sebastião</t>
  </si>
  <si>
    <t>Faturamento por Produto:</t>
  </si>
  <si>
    <t>Faturamento por Vendedor(a):</t>
  </si>
  <si>
    <t xml:space="preserve">Quantidade de vendas </t>
  </si>
  <si>
    <t>Unidades Vendidas</t>
  </si>
  <si>
    <t>Estoques e Custos</t>
  </si>
  <si>
    <t>Custo</t>
  </si>
  <si>
    <t>Total</t>
  </si>
  <si>
    <t>Vendas</t>
  </si>
  <si>
    <t>Atual Estoque</t>
  </si>
  <si>
    <t>Situação</t>
  </si>
  <si>
    <t>Total:</t>
  </si>
  <si>
    <t>Controle Financeiro</t>
  </si>
  <si>
    <t>Custos:</t>
  </si>
  <si>
    <t>Atual Faturamento:</t>
  </si>
  <si>
    <t xml:space="preserve"> </t>
  </si>
  <si>
    <t>Compras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</si>
</sst>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9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31">
    <xf numFmtId="0" fontId="0" fillId="0" borderId="0" xfId="0"/>
    <xf numFmtId="0" fontId="0" fillId="2" borderId="0" xfId="0" applyFill="1"/>
    <xf numFmtId="0" fontId="2" fillId="2" borderId="0" xfId="0" applyFont="1" applyFill="1"/>
    <xf numFmtId="44" fontId="0" fillId="0" borderId="0" xfId="1" applyFont="1"/>
    <xf numFmtId="0" fontId="0" fillId="2" borderId="0" xfId="0" applyFill="1" applyAlignment="1">
      <alignment horizontal="center" vertical="center"/>
    </xf>
    <xf numFmtId="44" fontId="0" fillId="2" borderId="0" xfId="1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44" fontId="1" fillId="2" borderId="0" xfId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 vertical="center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44" fontId="4" fillId="0" borderId="3" xfId="1" applyFont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horizontal="center" vertical="center"/>
    </xf>
    <xf numFmtId="44" fontId="4" fillId="0" borderId="0" xfId="1" applyFont="1" applyAlignment="1">
      <alignment horizontal="center" vertical="center"/>
    </xf>
    <xf numFmtId="44" fontId="0" fillId="0" borderId="3" xfId="1" applyFont="1" applyBorder="1"/>
    <xf numFmtId="44" fontId="0" fillId="0" borderId="3" xfId="0" applyNumberFormat="1" applyBorder="1"/>
    <xf numFmtId="44" fontId="4" fillId="0" borderId="0" xfId="0" applyNumberFormat="1" applyFont="1" applyAlignment="1">
      <alignment horizontal="center" vertical="center"/>
    </xf>
    <xf numFmtId="0" fontId="1" fillId="2" borderId="3" xfId="0" applyFont="1" applyFill="1" applyBorder="1"/>
    <xf numFmtId="44" fontId="4" fillId="0" borderId="3" xfId="0" applyNumberFormat="1" applyFont="1" applyBorder="1"/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665653397534178E-2"/>
          <c:y val="4.6375566044340295E-2"/>
          <c:w val="0.92879362537291599"/>
          <c:h val="0.8460078216133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Análises!$B$13:$B$16</c:f>
              <c:strCache>
                <c:ptCount val="4"/>
                <c:pt idx="0">
                  <c:v>Computador</c:v>
                </c:pt>
                <c:pt idx="1">
                  <c:v>iPhone</c:v>
                </c:pt>
                <c:pt idx="2">
                  <c:v>Android</c:v>
                </c:pt>
                <c:pt idx="3">
                  <c:v>I7 Gamer</c:v>
                </c:pt>
              </c:strCache>
            </c:strRef>
          </c:cat>
          <c:val>
            <c:numRef>
              <c:f>Análises!$C$13:$C$16</c:f>
              <c:numCache>
                <c:formatCode>_("R$"* #,##0.00_);_("R$"* \(#,##0.00\);_("R$"* "-"??_);_(@_)</c:formatCode>
                <c:ptCount val="4"/>
                <c:pt idx="0">
                  <c:v>10700</c:v>
                </c:pt>
                <c:pt idx="1">
                  <c:v>47500</c:v>
                </c:pt>
                <c:pt idx="2">
                  <c:v>19300</c:v>
                </c:pt>
                <c:pt idx="3">
                  <c:v>8800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43-48D8-A5B1-A9E9543300C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147552000"/>
        <c:axId val="1147551040"/>
      </c:barChart>
      <c:catAx>
        <c:axId val="1147552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7551040"/>
        <c:crosses val="autoZero"/>
        <c:auto val="1"/>
        <c:lblAlgn val="ctr"/>
        <c:lblOffset val="100"/>
        <c:noMultiLvlLbl val="0"/>
      </c:catAx>
      <c:valAx>
        <c:axId val="1147551040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14755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3-445F-9035-6272CE375400}"/>
              </c:ext>
            </c:extLst>
          </c:dPt>
          <c:dPt>
            <c:idx val="1"/>
            <c:bubble3D val="0"/>
            <c:spPr>
              <a:solidFill>
                <a:schemeClr val="accent5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3-445F-9035-6272CE375400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3-445F-9035-6272CE375400}"/>
              </c:ext>
            </c:extLst>
          </c:dPt>
          <c:dPt>
            <c:idx val="3"/>
            <c:bubble3D val="0"/>
            <c:spPr>
              <a:solidFill>
                <a:schemeClr val="accent5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3-445F-9035-6272CE375400}"/>
              </c:ext>
            </c:extLst>
          </c:dPt>
          <c:dPt>
            <c:idx val="4"/>
            <c:bubble3D val="0"/>
            <c:spPr>
              <a:solidFill>
                <a:schemeClr val="accent5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3-445F-9035-6272CE37540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(Análises!$B$19,Análises!$B$20,Análises!$B$21,Análises!$B$22,Análises!$B$23)</c:f>
              <c:strCache>
                <c:ptCount val="5"/>
                <c:pt idx="0">
                  <c:v>Michelangelo</c:v>
                </c:pt>
                <c:pt idx="1">
                  <c:v>Donatello</c:v>
                </c:pt>
                <c:pt idx="2">
                  <c:v>Leonardo</c:v>
                </c:pt>
                <c:pt idx="3">
                  <c:v>Rafael</c:v>
                </c:pt>
                <c:pt idx="4">
                  <c:v>Sebastião</c:v>
                </c:pt>
              </c:strCache>
            </c:strRef>
          </c:cat>
          <c:val>
            <c:numRef>
              <c:f>(Análises!$D$19,Análises!$D$20,Análises!$D$21,Análises!$D$22,Análises!$D$23)</c:f>
              <c:numCache>
                <c:formatCode>General</c:formatCode>
                <c:ptCount val="5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06-4CFE-839A-90CCFE80C29D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Análises!$B$19:$B$23</c:f>
              <c:strCache>
                <c:ptCount val="5"/>
                <c:pt idx="0">
                  <c:v>Michelangelo</c:v>
                </c:pt>
                <c:pt idx="1">
                  <c:v>Donatello</c:v>
                </c:pt>
                <c:pt idx="2">
                  <c:v>Leonardo</c:v>
                </c:pt>
                <c:pt idx="3">
                  <c:v>Rafael</c:v>
                </c:pt>
                <c:pt idx="4">
                  <c:v>Sebastião</c:v>
                </c:pt>
              </c:strCache>
            </c:strRef>
          </c:cat>
          <c:val>
            <c:numRef>
              <c:f>Análises!$C$19:$C$23</c:f>
              <c:numCache>
                <c:formatCode>_("R$"* #,##0.00_);_("R$"* \(#,##0.00\);_("R$"* "-"??_);_(@_)</c:formatCode>
                <c:ptCount val="5"/>
                <c:pt idx="0">
                  <c:v>4700</c:v>
                </c:pt>
                <c:pt idx="1">
                  <c:v>33100</c:v>
                </c:pt>
                <c:pt idx="2">
                  <c:v>20700</c:v>
                </c:pt>
                <c:pt idx="3">
                  <c:v>19200</c:v>
                </c:pt>
                <c:pt idx="4">
                  <c:v>8600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C1-4717-9BA8-A867F94BD82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72204383"/>
        <c:axId val="72207263"/>
      </c:barChart>
      <c:catAx>
        <c:axId val="722043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207263"/>
        <c:crosses val="autoZero"/>
        <c:auto val="1"/>
        <c:lblAlgn val="ctr"/>
        <c:lblOffset val="100"/>
        <c:noMultiLvlLbl val="0"/>
      </c:catAx>
      <c:valAx>
        <c:axId val="72207263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722043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_xlchart.v5.2</cx:f>
      </cx:numDim>
    </cx:data>
  </cx:chartData>
  <cx:chart>
    <cx:plotArea>
      <cx:plotAreaRegion>
        <cx:series layoutId="regionMap" uniqueId="{00000002-B6F2-4587-81FE-6118AE223D55}">
          <cx:tx>
            <cx:txData>
              <cx:f>_xlchart.v5.2</cx:f>
              <cx:v>4 5 3 4</cx:v>
            </cx:txData>
          </cx:tx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000" b="1">
                    <a:solidFill>
                      <a:sysClr val="windowText" lastClr="000000"/>
                    </a:solidFill>
                  </a:defRPr>
                </a:pPr>
                <a:endParaRPr lang="pt-BR" sz="1000" b="1" i="0" u="none" strike="noStrike" baseline="0">
                  <a:solidFill>
                    <a:sysClr val="windowText" lastClr="000000"/>
                  </a:solidFill>
                  <a:latin typeface="Calibri" panose="020F0502020204030204"/>
                </a:endParaRPr>
              </a:p>
            </cx:txPr>
            <cx:visibility seriesName="0" categoryName="0" value="1"/>
          </cx:dataLabels>
          <cx:dataId val="0"/>
          <cx:layoutPr>
            <cx:geography cultureLanguage="pt-BR" cultureRegion="BR" attribution="Da plataforma Bing">
              <cx:geoCache provider="{E9337A44-BEBE-4D9F-B70C-5C5E7DAFC167}">
                <cx:binary>1H3pjtxGuuWrGP49lBlBMhhsdF+gg0sutUhV2vWHkEsl7vvO15lHmRebw5JtZUbRSVu3MZirRsNo
p6pOfvsaX//zYfzHQ/r4uf5pzNK8+cfD+K+fw7Yt//HLL81D+Jh9bl5k0UNdNMXX9sVDkf1SfP0a
PTz+8qX+PER58AtVif7LQ/i5bh/Hn//rn/htwWNxXTx8bqMiv+se6+n+senStrnw2epHPz0UXd4u
Px7gN/3rZ1F/bqL0558e8zZqpzdT+fivn8/+ys8//SL/omegP6X4Xm33BT+rEPWF9vRHpT//lBZ5
8PsHhvaCqssfkz39Y/n8G+rt5ww/uf1Nnr7H5y9f6sem+em3f37/ubNv/f1fR01hfyPZLpYvKO6f
KPrlnKX/9U/pX4BG6d+ccF1myNZH+LJZlDtR09bRQ0v+9fPr//O/i59efe7S4ncefOP82d/7u5yn
2gtD0yxmcf6NweRcADp7wSjnjKvWtz/8d/BvAvhrX2pdCKc/e0YEaH31858p3f+XshGfw+jz75z5
D4iF0BeWSS1V1axzeWj8haESqlmm+ZtAfkf9zSC2vsi6KH77/pIUxL//Z0nhJso/Nz/tHuvPUfM7
W/4TwrBeWIQzHe513Ua0F5ZmMPwd7dvn2u/g32TyV7/WumjOf1qS0M3uf5aE/p19ngsI6XcG/Qek
o70glFIYA/nGfDmEMPUFBMcoMX+TjhRC/spXWpfM95+UpPLvm//HUvnzqPNH2HU+t5/dp3h9Engu
f/pENVII6UfPwv4Z5b9L9fDlXz9Tw4IZ/JEGLL/jPHKfOqrvP/D4uWmREGjmC82wdKqaJtOYSTjC
zvD49BEikmGaVLV0kzKDUePnn/KibkP8FHyjpuEThDL8BUp0/FRTdE+fEf5C07luWRQfW4apan+k
SK+KdAqK/A9m/Pa/f8q77FUR5W3zr5/xi8pvf2v5qsxQDVOnFvwBMzVmcA4vXT58vkcWhr9M/leu
aDkZMqsXc5lHNz0P/Dd+F3d3aTywq6htE7esRuuO67Vln3BpBRnkyciMmdTQGFMN3SKmhGwEcVnx
aBB+/jVKHsy2FQV9exmDbIFI5Jl6YnUVM3sx1CK59Y+mlzqxY7naLq3s6sC8emc5E3zTH/JfoWwV
1dQ5oVyFPauEnZM2+FWgDCVQp7vemZ1hp1YidnpROeNX7RjuU3faG18ug1JY/zN+noJK/NSVSVNU
xQDornMNL/d6VfSN7Wsi+mTZjUPswpnd7lo5tnfqPr7pMmFEjnP5WyyUSerETr4ERRJ2qk6TVnVZ
xvAl8orvlbYRZVgIs/m1C9QNpHUmG8RAOFM1U+MSlKorvC8nDaK1/Tt+HA/RsX/f7kuXv/QFFfVN
PIpmf5m8NXUyTzDhGE7JC4zGSLIkGATtp/lT4NflbaFZge1zKzz8CBTX4T0MohMiaW4562rrZ9Ah
Xd0lcSCU+L2qPlzGeFLEZ+LiVOfwTpwi8J/TowV+ytIO4modvitm0diJm71tPNUSUSSMnXnk3nBV
PmT+hvGThVMyMtdVblka1XRrcXCnnCTJVBTKk2Hagzs7i1Vyx3SZsHapG3jK9WVKV/TS1JdEU9UN
kyDpPIfrxmYe/QqE8joRsz6LkJtiyt/o6pZbI+pzyk6gdCrpSDZoUBHGemGIye6hlcHO2GluuQs3
3MyTMZ3xkJsaQWDRNWR08OMSD4M6DIMyzgcRX5NCKA/0c+aSfXGT3LAv5qdr7dhdT9fToX9L36e7
QQyBuMxUKXYwoumMI3BRjRCNEiZpT2314RDEHRPR7HtDtM+rD3EzipKW12Nc25RuWN+Tzp8Q/Bug
xQxL5aZqUMkmGrOw+mpomBjyVgydaqtp68VKJwqzFqOhCZ/Ru5yywzz0O6uxPBJmItQG0Y+qa8XU
9qu7vrwOtcdxVl9eZsaTXC98OW3Ri5NIyvxGL+cCX66zi1TMnmpXx+btr3wSuRd6vaAv+69xLdJ3
o1s46V3xiu6rq3DYMKxVmTBmQDG0Ja+QFD0jcd0HeguZqDdt1O0blYnM8kXcTI7OckGGj5fpJvq5
vn8TygmipIW04F0eZUDUb4JUqKGd3Voej4VeioE4s90cqJMmwtzwj5JFP4OVdYF2mj9EUL5xTGyu
jKLvRzvy76qy3lDzhWWSYC3VQOcAjooiV5EEy2lKMrUMTJFGs3qfmI0pSoXs6jmGjcO/3WuTfrzM
1BWeImdkmkYMXSP6khqe6pLa8lJJBs5E0Xh0bN6Vc/Pu7yMYSL9UppvwiU/++URbtTDU9XlIITVF
taO0tMlWFiTFSgjIQOqKrBLBeWl6Sd7BbA3dZFVliLjkN8wEs3gWOHmnpBuZwHOVBxAgTALHQIgq
McvwrQAuP4Oex0Fu57Gx73r/Y8HmY8P6twPl+5yNG773uU6cYy7aecK+sIjrpgiB6VfTu5TruzKg
Lw2jO6Y0OJYj+/p3pWVoKiMgjzMKtknKnuZGT+OkNATx1Y+Fnhy6yN+g6LnKAQL1iWWZXLMQWc4p
Slhfq6QqDAGBDkLrSmcm8+NlMlZU4gxj+Q4nXEv9LE9LmhqCj33sVSq9HtuiEwP3uw2bXUNCUMJ/
oN4qlcuambVTl6bVJMo0VO0ham9rMt4zrao2/O0zIFRQDAUU8k/NtFSZbYHK+IB6iQpWDbeJUiV2
EszTru/NcYMkjYI7Z37IICYlhKuoJwksSjKoaNC0ovJnVUxHtisPuq3tMzuy8V839/JXuZfcWbfF
cd7za+2OC1/Ud5On2VTQq/wtvQ2cSLHrXfx39Ub6Vsu3PpGpnmhJOo8lOG2GIp4iYU7G3+YxGlKc
IejDm1pI4M4h0jZpw15PJ8Ha+rWS+3dRmN8GZfH6snaShYHnDDZM8JbDJ+rwjapk1M2kNaTL0kGM
We2/HC0jGwRipv5uohEiZ2X2h5HEg2BkqB1U4vWNhqzMnnlUbAS350HVMCBhbhiI4kQlpkRyricZ
igIUx4boHasQzEYldyjdoRDUy5zIsw5bgtzElAK5ZobFXA3A5IkYH0bH8LpdcDTdeEIlELyK9+Gx
2F9m+UKGzHGG2oYzGCpHF+BcsladJl0ehPA3KhWp8dj7uqiTe6uqRZUpfzdOLDz9DibHcaXIfb32
Acaj+cpPc6dK/Hs6KbEdWemdwXInD7pqw2qfuVUJVDLalhlhFrZgqh533mggKZy2Ur6FSReYaEgW
2I415VUFunTfUIUyVYeAFoGtjMoxVmOU32XwPhqJJoJxqwSRyziEpIWnho7GJWYrltzpaKpWIZEG
mxieyrjMjR3F1g+jrXqFpxzY7WV9ee5tz+Eks5i6LGwaBm5qQ+XpmWk3yife1+5llE2qZEuIpizR
alDVeoOroWU0XkU3pquL6pB5+dut4nRdR74zUbKCylL6bs4AN6efEu0+at5fpmfj91Mpgc0z1WrK
GL9/DJKrpJ8fQ640G3q+7j2+a4Lc+dGzbu5bAyC9lx+ie90NXOLbhqsWIrBre2jRjNF+yE2egEqq
X1kd6hoT+lA7/G5ymR247VV5VTkFio7anvbk1WVWbpIppUl+wa0xZiDTEFUqRke3o6ORiVakgtjN
G3qlOH+z6fSbjXFuoENDDSo3uvoijc28BJGtkez49IbW0a7PfsQT68j9lpwdGcZieSdhPOnVbigz
dLaSMFVsxB53Lnw3n/JP4YSgXqZRuKExq7Z8gihF27JmiWl1Si+IwsihL3XzKtQbeDG9zN9cltqq
AZxASW6jHpTJ5/XSttOviqSwfUb+dooCx2SgCbIMn7klt0Km2qwK/6kZOe/JMNjZfNtZ3QbIKhkn
IJLuBYM/jHPk9yIO9MgtMG93gyYmG95vVS4nKMu3ONGEvO25jzyzFwWP7ZplovTfp1myIf3VoHWC
IulbjaGxnrRASQfFiZVd2IaCsYc6KkWCRDIYX46puYG5brwMdalhUYqRh6RylRqkYdNxgF7XXnDL
jktnhn3pbQbPrl7XO77By1WJnQBKihcbZaJW6FOLSZs80qH5PpZvf0C3TyCkWMXmui+bGRDJaN6O
MT9WpNroRsit9m8eiDGoNVSb6pqkeD2BddYZMKqv9Kii2kARYrmdZ+6ag+YWXuJYTrXhkP5EWN9B
JT3soyrNkxygjVsf1LfzvrCjXXDNRHOo7xbEbqufuUmnpJQqHfqsLQCZXpMPFB49sy1v3jNnPnaR
mGdbve535aaWbJIq6WU3N+VYJ0+kap7mkP3SL6yc1o3vY5E4vjvdX1aahRApZeQ6w8yPcBiDrktZ
aTmEVh01ZBKqFR+7dDqWqb7nmvLhMswaYRYqGHTeda5hC0RSHDoVcIzLICy/HjsbtO25k5vCtGfb
R1pQ5SLfmc5l0EXhJdrOMCW9iedoHiOOgjTIy+JVq+WBAXfMGx+hrUwyOww19W0cGoXi8iIcN53M
Kj66KOgK8MVgJCXqxmIKSQ6aO7t1iKfbtBJWJHSYTbHjh9o1d6q1Y17ipTfD5lyFrlF/gi6p0pyx
bDRpMolqmkp/z1ueZMKf40bdMW7VgY0+WkRdNemG2KnMdHo7RXORXBvdMLb4nnPynvKx+npZJiv6
hs4cQ08TJa2GfaDzmJIFzZgGYYsmQdU4c1OLWtUxYaq8H4BBo4wz01gG55K79ZPZpwU6ciLVmtxO
47Hz9KlUXNOi8wbU8qtkLUO/UdWZztGYkJMySN8wMT2DBYVV4taFkuy7qOjdZq6Dm8yIay+J4/zq
B+jjqLXg7zk1qURfqasKVxdQNsbHOsltMiqCVxuTjJXQjD7jd5RFwU8SAKPWQ8tK8knEfUbE0OrH
NIkffIMPdkgzUxh95CY6j2y9ravdf49CSVHavIkx9cxAYc+vfL290YNf60bdSARWwrJFLKwe6NRc
Ul7JROeYWIyn8yyI9q4jpQjqrbJ/VeEtCzkGpSaaSZKDnbhCypiChyyLRGvtY9bYZv/xMrPWyEAD
n5qcYChN5aHmWHZ1k49QB725H1BgDTrZ8KVrZJwiSKqQE9rF2gCEnL7DQojQzV/DtN2QxuKSZFPS
CCShaZjlo/g41zeVVl1ultootKnGQKW2YysXQV+J6occhGboKkXXViVELlJpMqYtUaBeEe1EH9+1
+p2hv//7UjnFWDz0iflkypCSxkD8MbudqsSun2/1J9bkDlZhQ8jCzIPK6qsyTO2jSFWFGjB7phh5
kQ2RrCJYSA2WrSACj31OA0n1plcTNop0zq/8etxF9d9vnC9rUTAO3aCMY1nmHKKdgzpWaz4K1L0v
lalVRTstjpRvLYo812HM7NA21phKNa7KQApnldEu3eOJd05bFMKIswOZNnLk5xwDisHALI7FLEvW
rDICu7oZrVLfZP3Llpv+NQaH4UbUWaXlBEXSrTaxholw6G+qZm+HAS1MzjxrSjfabKvEYGRnYNyE
sac8PZmCsB/LFiwLE0JE6vuGMLTocNlOVmn5DmJJXale840UE6EJ4+nAbqc5Fx3v7sau/CFimAXh
E92A6Z8rWj5rBTqUcMVRXWM6aCEBNdzLpDxP+SB8rPJpWM3EXEZOb0K16plagpTYqO9JNH0uRvZG
tYKrnPmY+JN6b+r1Ri6wKiNLtUwDvXOgSiaKoWfYTDWB2fT0V5J9ScPy82WqVtqgUGcMnAjUGnWf
zLm5SdpeGbUBFVgx24YXHS17tNlDd63ZiRM58UZ/Q15HAtoCCLeDAl3Tn/YuT10nD4LGykuK9i6m
Hu01cfJSRK7vtKJ1x1Ro9nhb24G3VWqusPIMdvn8zGPrftsGgKVjLhKj8LAKuUHa8xi3UIYdAuzL
IP2V84HebIs+1fVB5POrFH41njpPLd9kk/X31QIMpITqBpbGECHOaUlLM9cGxGxBu/Zaj1TbJ6Fz
WS9WDPcUQl50MbVwTtoZEOE0e0b1OijR543NDY6tougMg04M0bATLZWOMcm6KGfBKLDB6RhKtosI
9QK0UC4T8+SYz7MPSOYERxJ+WU81WoPhKKbKyrEHqwZz5dtNmpiVW7Uhbx2DdFPv+qFpvcxBayCG
qokyp/FHxdayMhHDaBilKNUxvg+7rsZsMMhpKaYiMN5Pk2GF+zrHrDs2QxbbSaKw25kE491lQlaV
+IQOyc3VkabquQZ+MaQ2RMVUvfz7Ie6MU4uOn5hJSZDT1hQIfnAD32AHabAh85V+wbkwJKeWmpOZ
VwsRjTs6qmvuo7tk14rZJrZ/Ra+sg7aR6Ky7HB0GSbFsg5pKUjNM/kKVdEDUwDEsIjZ29bbAMtG+
t6vr9nO8L7z6Jt1tDT5X/cEJrKR1adOUwTQBNrNu1ah24uKxqioxkg138LRF/Vy9v9MnqcVYKkEa
L0ALRxVReoy7IRbmdszpsA48HcYbrgpIstxsxJAlG3mGjYjIdAx3keNJvqiJdKZNE9ZwB7t3xkOC
4WBmJ3a2LITddfvL+r/8smdg3MRKqarrKjrx59pJs2r28QgJ84NdsG92yW7wdGx3b07JV4k6wZFS
sNwfRx/L+ZjGOINLnMpufzURFTGV9xSHfLxM1LpBnKBJ6tlPTVbWzW9o1of4Y/0xchW783pX2amN
s92yXtmCgA2ipQEuEnOZ6Z4zUtX9IuMpINOD4U03oZPYgxfu87vc3gz4y+96JrQTLImZox6MQ1/4
CzNVu/yi7ZVlM/++vgucrc7Yajw5gZI42YyK4dN44SR/MOaHtv5CNxdiVxrIjCABRKjHogr2gSSz
bnmummjkfhuHGxhKftVnO3cwZHD4S1bfGcib4rdby06rWnIKKxl5nvd9PBSA5TfpG4blU6wj2fPe
sls3sQ7EVUXkbcpuzYUxrA5yE8EZ27+S7IK0xNJnZSJZe8l3mlcFeOIQIlWL381YxnXpgrkb3m+N
VFa9yimuJMisr0he1sAdbNWmdghCFbcV5o466t44bBjgFpWSRPW0TTO9AZp/w3dxLMKP1NX2xc5/
w64x0nE55tqtHXlb6rpqhthWQRbMsQjELan1YkymPoyJMojuOHumV+386/D2r+Xda6nDKZTkp5U6
1KMshhVmVuUaSoAcJXU3+LhSImFB/Hdy8B703KuMapXW3fDkyJzRiT9iU+R1HHka9rOx0EbEaI+u
hmcxQWOH1rtNbi5KITuaU3jJqRU16X28jkHOejBSuz40O98ht1jZ3BnH1lavtmb2W+RKxqEqajCh
0wS1QX4YZFTM7VVoekaOpWwm1K4Ul/m7JEaX6JOMIkqSfhoi4DV41pOlv5pxafckQSVzVNndZawN
1cSTinNZGpmpZH4PfWkMUR4yt9iR+/Cd6rV26PpbirMoxiXKJN9W0t8VJz70h/R1Zrdi8phXvt2a
G607lhMVlfLbiBRJWU0ga9K98lB6gZugL7Ef7WWZpNzlyobMlm9+iTIp2dXnskvMJWPRBuVBq6P7
Mg/vqjnbnEhtAUmuRFeUSfd9EDb2r9mOuonrH2B48331wDph4p2Kg5VCZ4uhW7CSW6EVxyiBALY1
D0WXOkWz90lqX1bGVf/8XWhPr3FOihI1q2eDpQABQKMFOyV/l/jsyi/njUx63Uli2GPwp4cVkh52
zM9GEqFOzPIvQfwu29osWucWX6oQ7H1i9f/cqHxF17MxRqJuwiH2aFM2MxxxvLVLu1rwYCz5B45k
vFbYqeVM4Sn4pygV0a0iIJkdf2PZD9WHybN2hZO83gqj68z7Dioxj/Ce5UMI4vRx8vKUuYY/OZcV
YT33OiFMMl9ST7Qni5b3nr9LruqX5KrfBzttp3rUYVd0P7y3NpoHf+IyvtMlmXCk6EprmYvbdScU
A7HDYqEeend242P1vthQwdVi7lR2kiFPCe3SwQIceYnGeR640e3yoDX4ZCKMtqL60BQix5QGnjjy
tsz5T9z+d2Iley47M+jDGeiLJ8692PGdh8UVFy+3oueWkupStlAprVFMEfSl92aM0Q9kH72FbSei
cXpXRdUTeMYhv/nBNOEPEuW9iJzFmR8awF3WWdXPRe/EHncwsnYLTai5UDbLki2Z6lKmEDR4x1Yu
KlRqNjs2orIzZiv3waP+Cj3r6YMvVBEetdiZkV7vLtvMqlningAzMQTFM1opK1I6Pc7zEBGImPd4
wSo42+p7biFI1A16nIRZhMqETYqofMvWuo+XaVi07lkUPaFB8pujwhUr7YHQe0ta1+8HT9n9hbp/
1T+f4CyUngaa0VJKcynt8KgTb7obO0pE+pI7uoB/EW+zUOTbKclqdDsBlfxmWo5NhtkZIrclavTD
w4fIDT1wcdc0rurl7nTV/NrstxYN1wvKE1zJl859FWR5BtwaTQ4zEpmL/qvdOcN1vI9Fbaf2Vg27
RankSVWlJ2HTQhWjEpumWp49ZKb/saTqp2A2t9z2llZKfrQ1WaCTRZbqkdrMJnvrluVe443uUqCH
lagRFT9c1tP1WHHCU8l95uifWpkCUH03UjTiip1lZ3ikG9jjzV+oHzfsQk6M8JjRwjo2GLq4Mku9
zamjXc/7xC5dNb72k2sMdZ3Uprvhnd+KYHuYs5q4f6f3KZycGEyA/AWvEvAFwsNSp6O3c6vtrGPm
bb0EXZ1TLWdRfnNjT5w/QaojOo9pDM4qzdHfocUZO8Y9uy4iMVy3n6oQbvvHuh8nmJLbYQyJp7ao
UOWmhxrLsveNXdh4+yCmB/UhvKVO4qmbmfziLp87u6enh3h1psnvAFvaDEWTA7Vxg31o568DN7P1
1xSPLbAksxnx1+3kDzhTCsOj0rSqshC59Drzj+ZV+lQUDZ7BbdVJHMVph42iiG5hSjGJlL4Sl0vE
6D3Na+7G/ZJaqY3Q9v5TJ7J9p3018KDAgkzprtvzl92hvglxyObiCY8F5gKnTSlwJXU/DtbyNdJD
sK9fjwKjz2N3iI/WYTPr2JCqPINI5jQfigVrsCcboUWkXrbDzBhXA5KXPxbzv8tUimMDVTtCll6h
Ed5XJreDvt0oydYjJZ50WcuhIlzmOI+UcUGzMZqQ0dTV6LTMsczrVpt+AASdRx03a3AtEM3PcxBa
mmYRlekoSJDZAYq+UHeivHIuq8GaMuIyDUVHHGcqmDzB4GbV9tjjG0VLrhEznGIzQVpNdU8g5Fdp
QTzqUTQlgICN6XbqhFxQRcydl15lh+XpDFxoj2R7Fv2PdCBOsWUmsglT/wHYY9vtyjkTEZrH+DIb
Nr1WOVCV43EEBmzLaQJJ52orqvWhUJfKIdr3cFqKnRx0z3+/3eZfC7PAgnfEq3lVY/K6j9GZWlV2
8xJmcXxjSeCZg7KI4B3soNiBY725rCJkUWfJU5wBSp5izmOz0sxpeRHUuUs/Wg+P0R0OIBAUZb+S
ne7RPTeF0joJdeO7rYHUSuJECV44q8uNGMOQ516pGWBNjpNBFFz/YnDsiiv3pt9+iYfNWeKKYQPK
YniZiiUGLLie21xhkHg5WwV17C2nVs17GpimHQ70ZU61vZXzj1EQfuqIf2Bx/CZN0g9NgveAYbcL
zfRA1CLbUKwV88SDaFwfoaAei5BSetwZVEvGDrR3sS9CPynE5G/eyFkiuSxfghU1A/so2E98tmUZ
VqrSRVCopxr/mmDaYKqI8xhKu/RK9e0feNWGbAYvXrGjCsnCxZ3zeVZDS+t5s2gUSo1rP7BTz3KN
u+jN/I5eF17g8R94vrdgYjXb5MtZHrnyjeMujMwJmIOdH+pD+ypCZlG62UEDmWy/XfiuKtMJoGQ2
rV812TgDME1tTFmEWrxMNgdyqyCGinf5Jhw4lhnPOUmKICEpq9HsQn3Wxsb7pC4cI9c26uiVXHs5
f0Oxv4TTP/hzDlMFWD0j1nKIB/7NuGr3yQF10nHL1NcS3TMcKbKGtOhYGLBesJvZo7j10+MpRe3O
tmZnSMa2ktxV13JCllSxMF4mXcl65Lj+q6TyxTRwoXMgzVtIzy/7wGGfcJBLmWaiWVY2l4DqP6Dx
4nYYKIa4a5DslsNQ7M3gacfJoaKh7vYUetWLfCdTjhgYseOKwwjsMuS14+s41tYa/lajejUwnZIo
KTxvqo5WmIEhMIE4IkKPfyndyUH9hwcijrU1EtrSFi4pvzoHmR5UoKtxCbjZ7BAKXzFntE0UYaEu
toS4xcfl85MyjPVsCKcBBMbKJ6ZQ4bcbm5yr1nwiKMkvTuFkJUUPgkJlepWqqccybI22Ed3ILdd6
cmfaKLU//MCsrKwFkBE4HcqPaJ86mDJjd6WHwIYO64jo8LrDrz9ScZ0hS54k1CrcfFvs4Mn1O1i+
fc0xU1c9wfa4ILZR5awtv53BSQ5l7EtOphYiG+z6WrmmO47yOXbM26QS8Mm4pYely9pW9+axcIY9
OVQbLe11nUGII3hHwzAePteZUSM4utEPcDEmxwrdoLyNrOb15Qzt+WWuJ+eCsQpe5WAv8imDO1FM
rav8ZFj0Zn4Jt2lnAZZK+72iCnI1YkmicarrUhg2XsJdaY/1jWHjisKmM/0Tpfr+LSRvqg7mXPqg
Febo77JjcDV86nRR7rNdj2sJ2cfpenxXONN+2loa/xNH8AcylZyrOfgqixdHEB6wsOk1u8zGjRZd
MIHNxJ0ZC+PNZY6vG+p3QKmuqNNZ0YsJgMFo2kn7hbfRjoQb64ibZEkOVed96GczUGonp6K7RRvP
njHvmW241NvQ3TTO5Rc+ywRxQPw3PZIv+zV6NChj8ZsEcfD8mBLc3+kc4oKLrfMDLVGUTHgdYeI6
KrZgJX8alVkeKsuebRdXb4hZ7CeOE6azMTnTZN5flti6dp6ASYaodmNUhArAKBYH0N8OP5Sh6O6w
8u1WjnmnHYnb3mkB5kpbCz2rLoDjnh+uCeIkmFzA1L2SsWbZvm56nChhROSk3HLoqxjLJVbcacKF
eCo59HKOlQJ3or7FXnQJ5n37fpGc6miPeihKGxueG55t1bfimAIev2I7nxO5bki0WIt8DXVD75EH
HBK5Unf0GO2XJangGgdonOllojs19viwxJeJ+NPWRFm+RImmBfzdyTeQvLs+cmOsDVSm6tHwsmOB
+KXtwn32cjMxXePvKZLk20jW6GYRP9VIn76d8wSRwr/u7eWcZ/q4lWqQy4D4f1Y4jxtsarA9y0Ha
kttkeNeBjtlSkjV4Ln7Aupszvd80/yVfks0fUzK8f0dTC/+Q/E2sDHGvDk+Yo4O3CejgZzvupMI4
9rvo9VZwXk0YAcZwVgx3NrG9dE7jYBWYwSiIjUkqyjfLqmn0aQywKbWcEO4Le7OPvpbvU6zp4qbo
8lhbLqfjXjGRUOHlcu0Zr/md+UG3Kzv0cJW1E2UN7i4LtYEzfrzse1ZleQIrGaeOS4T9nIKvVU6b
g95rtWcOY7rxqnVtPwAtPNwiRKtAt7jcvYhTNlt+gHsjrdM7xT1uVBY2q0TgIsFCVtfgqavi/IWo
sUbeKa5khVzp2jpvgTvMRuMpddLflHhG4MZY/bueuogclCJqRFFGlkPVsbUHK8NJKr9P3mWV1e66
os5tizW5d5nt6wwx4ZrQpEVnTnaKeRhaCglDzGZvqnfBfrjpmB2/HjPR43m+YY+P5uP0q/nlMuoq
N05ApQQXA02tKWaAxiYeRRFPs1T3v4cg8dtIOiUJCiDoSgkn25rNTY9z5xsBc50OHd0Z3KHF3cnF
WZzklKoyK2nbBYMwc+Uw+MXXoTEfLxOymuBoXMeLeQusYHIE0Vo1nIImQxr1WXkIAlxnDtz6qrdz
URya/i/c8lvL204BJdbpKY7L6z0AFRTaxPoUFu2+mTemr6sguDi/HGEhuG8tcS7t4oRXYQxzb7xG
M3A48Y1JDHGZd6viwdGJpwMMSNkk38nMmZJSgxJwUrjxkL1iZfD6MsQ6Hd8hpHDAmrrK1RIQRt3i
4m+x1wIe2rRFO/Iy0JpbxvvVP2iRGBaHU2nVFoCaNhW0HQ/VeEzRLtAb60dS6lOoha0nWt35eakx
XHVGWA32uYPrf/ccF1cmrzuER+NQxz9Amq7hoTE61/jDFx6f4LVYcM7wBhhZp0KwtqrvNUP18ObU
SfrgB6Cwq44BBOI33sZJGQPVumY0FKQoLPmqakejwLEwwtzICtzL4lpNpaF3SErQkMcZCkn3cDGy
COrEQF3yIXuX4r5VJBrs9dxFLnOGh6p2llsy76x3CRq5W1nnatKwtNLwbBv3PHCK6pyjjP1f0r5s
O24kS/JX+uQ7agA41j5V9QAgVgZXUdTygqOFcgC+Au5Yv74NyqxqKsTDmKl5yUwlxbjhgC/Xr9k1
I0vvTWuj4QlxV/WaGu0bDhrrwWygRVhcGOy6JZwnRS/inXfxLp5jVqVu7Lb3LMq8j9HRyUjRov8m
KuzRuecP7JE/8I3c/Selg5eRzx7z0IXD3DcYKZ0FLAYAXNkLKfxrm8jLCOcrfNSSI7MFQVcPJ9mT
U+g4h7ef32ubyMsQZ2s7mVt3KD2ESFfhq6qY2e1UXxjGq/DbyyBnq5rSSFjO1nEAoZo3JmPH4C6E
BA08Ei5Uwi+N52xB117lzk6C6TBCDz6azL5x9EPkqEtrbH25b027s5yRl13PpnVIHboJArTY/Cmz
n2yr+4t5/5qSvBXrLGWRABv11OJqPOb+cUj2Xplpm7e7qohB4Gm+zEWzj8zO3tjrS01tlx7n2YEs
gmDy1drNq3kOqnhOzFO9fHt7Cl6a5ec7Rsv8uEbTcLYAP3PqOVegs7wd4rUTDDwAJLSrysdvYD3u
aXKuDLb5yJCfx+UIVXxCbwf29e1Ar40lhgwDQX4BOdnfUCyztHUT48okByj/i940WeJc6kx+DbLH
MeKjNR5gKDhAZxNCsRp2EinO+WDXHdJteAXV2KTQwGEkqPTTbr5iK1X00qX3tcnwMuzZZIimSqTu
gLBEDffQOs+c0c9VdElk6NXCxcs4ZxOiEzpgrvNzeOKGoGMTTxKq0sM+3qxYk3uC+DJKwuOeFf0d
TIIutpa9+haRU0O6G0WZ8LwoXKElalECX6DT7mNJwkfK7YUN5PVnmRIYnQUk+a27PBndsgwE9qlW
k20YNjeDHQ4BZRcK7K+m8JBr/3ecs61XDr0Psj2GsoLH42crs1XNoC/8bXLVTRm9+OwuDWz9+YuM
KgQrhi7TugHXh2Xqd3wkGWF18fY6e7X+8nJcZ/vv3HWW1OCOZM6+vK8+afSnVbBVqr6urdqLAWNZ
fHg75E9ZgfNt+GXIs1UXeEIPwYiQw5Y/1u/KXBf0JjhOp+m0Vn/0Jm7y6AAtx2+mmKAzF+cKMxUd
e7CTwQtogBwGD29/p4uv92xJDr3QnlifNko07AtS5m10qA/VjCJNsA2uxr24dJavCcFbT+FscbLe
shaVODCCP/rHFQLurpZdBFHwYNtsUL/YXRjhmuO8Ee8cO3DqeHGDFvH+BKRMHtpsVZ13txB+lBdd
PS5NrPPk2Y/4pLx1YYa3QEke+gdUoDCxxm0XZWSzGmddOt8vrJifvlovVky1cBhtSER0gh+LzzLd
VHkbff7/fI5niV6bwBWLrFEGSEqXx/Cq2gJNxGKxD5fJ6utSeOulne06vZ+W3FmJOqlt2U4MEPBt
VHWM4PVUiJ4ULPC/Xxjf+pFvhTzbd+ZSmhEiF7jJ7crrcmcP/YPZ0U28YQf7RSC3vdyPst7Y3gp5
tgfFSWpHMSCkezRwPoKkwUkdhnvnYiPbqxSvF1vPue7eMGEb7zUiOfsVQGRXg8zElDe3ct3PaxS5
wyeN+ozNcepfXyTnvDpDYwg/A8CAytA5QUEEc0rdCntYmW5wsc10EGQUM/XCK3x1a3kRZt0KXiwE
GI7BKVAhzDpF9R1y6o24Bj55GA/BV7n7T2iv/s/h/DWssyXhcZEStcbzbsm37gCW2LbcNhygpNxc
rsNeeohnayJufRN2E6LhgpJN411k2iIafrz9DF9deC8e4dkqGIT043IGzrS4/q5T95bEWR12mZQ4
EudLafWra+5FtLMF0EpIA/qwb0Qt9b2X7tlwSQZu/YDfVtiLAGdHLiAd1S0UAVoIIwlfZqZsCgXt
8dr5TypBLyfD2UmquHalXnO+KnjQKslC91Psbrv5YmvL6/MA2TtEOgCQnVN6fRfiTq4PtGHY2pMt
sxhOid5+gt5Lcpv+GG7aW5gjXjhFL8Q85/imYWCbLsD9R7YCDQKtO743Lo/yunXTD2/PwFcLQHDz
+9f4wrOyiNSNM/UE4+u2Exj0bOOIjF53GzR2bsev/0FjJ6inMYRCoEOG29BZNEeMuPB7GtIBkFWH
zUBmx/sLA3ptWwJGAXIIhLPgFniW8SxMJEyFHW5bgBa9gt+6DkjfmfgISCretdtxn4wXStSvVUxg
/+LiFvmnO+nZOu5HB4rBAZCwNevxcy8z71c+PjwF3l+Cv195YXh8IUxeklVAHv/4ddt1KuYbBS89
TMjyPt6ujivqNIIWtvZXXLpD/r5lIBisuQBZrCaF5w0k0pkGYn0EaxZ5A5/SbR2wb2+/sN8n+xoC
hxXYBD6ucGfjSaBEFUMrdMh0/aVndzJQGXEuVXNfDQLxS2hLp9GKx/760NSkQ4ifrlCl6z4JHuf+
YH8Y+Jm+PZZ11/l1A8RYXoQ5OzQmKecpWhCGgJU/pmSn43ZnxVNEbqfuNJeHt8O9PhdexDt7dvU4
9fO0DgsWT0e9LQ8UzcQrdR2XmOKS9tW6cN4a3PnxYcYWDqYI1qDFhexXxSRIq19UTHp1yq16zC4m
g/dbTWboG4fB0gxryRE3pahgCxgm799+cK/HSMLVuQnmZe7ZHuEnsxlqF2gcSa7V8JknyYXk6EKA
c/QgcqJe+TECeEtaOOgE9sjHt4fw6oxOILUK9zUISwdnb2NqnTYJSkSoArQptNuIDJveW/K3o/x+
vwKFHWK7EHf6sxh3dqRPpZMqaDenP3neEMI0eVPoDwNSlCeoXhx7mTXXzoVL658u0r9MtV+jnh+A
8TJMotQSUXsVBx+jcXJlkiWVtvFXd45RwyqHKaoOZjSp+2WUIIZfL4v0+y8ucyf61QsnONhk1p+8
5Q6qsgvwDGolNFxgu4a2glAyZT6hlbm2u5BUpTq6rAqnzaqLFkJYlMM67VkrgVmYdGOjNN5jMHnP
k7B98yOiqhSfGMxHUFQLZQRtDBSY1fgYqZYNJOejnZxtp9o4QPNrb+tuz0Sq6DsLRm9wXc+BLw5p
ipLgwYMwa5lB6zFq95ImwVUSVBIfRGqGb8apSDOS9pG5mmBVqvfeDJHyaxHpir/XNvSeFj0O4LGY
NK2KhrjJNXXoNwiOth8M+v6CzewhI8s1bfs6b2sSPAyNV31KpGo+BZyl75No0bexCvgJOhPR1WDH
ASK+3JJkx4MxROeN4rLP2GDSx7B05yTXThWQbDS+mrNFjp2XtX4AEkBdLy3INC0f/cxvIpgtdC6l
YNF7jOwJqxrg0I1ZqvuqiXDjiRU3z2nNwisdVtG97/VY6I3LpyavIAM3HCrK1LVsJrB1PQgm0k0a
m9L/KDk+oqZ1ckv9dnmvTaf3ZgzhGiSXmlzX0F48LTO4uHkidInO+MUqUqguca81U7gtTOgqhy9a
oob3q6hotJtG6idZb/zkQwgRR5pBezvROTrd7Xe4Efg/0sAmyB96fzhC9jR4gqL6ApNubIXo9JN1
/cCZtuDZ1FH3PXZaGxau8MG3wf8l9oMki4ogXg+lx2jMSQIJF5HHCGSaPAHloE1g1ez6k85Kt58j
J4NL74iW5s7V9oCOSkNvOQBrfiMBSR+4Q+tx4zhlAlJandZB5tNU7oTSYBp33Gl33ASt3EkTg/rT
hDTC20DKNeeY5sn9FLvlkz9HZdZX9inoeb+3c42pM9TexhmGdjfqaeM6KZ6IZEldhKWhe1HxSBQu
s9Oc47hB1wVoYvVhFq1b0NJp763QJM3SfmIn2SqX5qr3q6upQbUrMyT2gm0LHcgl84MyfrRKVmXm
yMTDjbHT+OSSteKL4n1wP8de+9kKvIvCieeyup9Sr1multivryzSlPjT4A51teVeNRY9NB+8fMBO
Dp90fLvuSOrUW7KwTUgHOz7G6z0VHn/fVj1a8oa4hQViY7Q8sCaO3U01tLHIVeoKTPAGwjpHMtL5
HeRhPJonHba+rZFkWA7JnJ6CeJHdFaUEqEq9LKMBcs+Gh6Z2vjYM337p+XAa4prMNzUuVrrwZGdQ
8hrUEsPssw3Sd8xYVe36xet2SFHpk5az/Zw4BM/fnfQiC7cfMIFT9SnF+jm0ldu0m86B9MueSdvN
W2jdz/LIO7aMB2h9TfxoIzGP+4hX8UdO0INwLyq4/hyqtIX8XtCn8oaD936ALsCcszSa++t6KCUa
gJ3W9QoYPgzJSQFndzKKxE4e3BDiek8V6yEUUtuR4usMy7iph5mXJ+KDa7WFMJDQd/HSteII+WLG
9zZmwSmEY0YMvInpAPQWX6NbPKxpcjfWXuzkttJEHOvQJEXX+QuoogF1DduWxqNdvrDWy0CipbsG
jxpaASZ0ykdDMTdOcyM6nevB9M+q6eVRwAniKfbGId3WmrL5KnZ18M3I0okz6ASjYB4k3Lg0i3rr
9FsjMCFaAt5SnTGHVuWOaAO9DsbmJV9IkuBIAAMjylsTUg8teEbDkovUU1h07VCWm4Cw9opMshNX
ShAo7chVgboDGoEuwU7rJ4NV866tvJKfFlFDD1aV9SkIZQrxkW4u2dbxx5mcht56XlbyoINiKM6j
j1HYEr7tRT2XheKig4DP1NLvCxFutcepj4bONogqwNRjYPoPFP3qj72SfZr3Cbywdg0Je5aBp1Ue
k3IZYXfTYSMtSG+Hah9UwqLC3vlDPrtsLvOkrrxTbZEEY5b13ccxqZv+QKUXRHcjVuiyWbiLEvTk
PXQjKXdTa95VWMt+btzEDrkO03ErgnauYA/ojU9JxWzGLGEgMifAANsxji3IM1K1mPPWSd/j4Emc
pxBUWntL/LlOIFJkWLhZkpKqz15HFrjTtszbjTWFakMy2AksAM43CaFLuStRum+vRDItc8ZmTlnh
qtbPB1/rYctSp8KkCjBZr8H8i64sDvekiKZxdLOJT6N8CMOObnjs8pMgPG6OtcsrNPh3/mxFlpQp
rEUabM+ZQzDjHuNxLrdSdDXbeawzfO9HQni5Q9oZRWSfar5tR9rV96E/QTAt9qboPSSMHf8QQPZi
Y6Emf6O9RaW3ybh0dwZev/IQT7Pf7iEBvpPlUusDbvVKfuiZGR8SS2nuL4vD7ka4v9ADxA9KyPNE
TbSdQ2OCrevpedlTqKr3BRl7upOdl/bw5SbkB8FadzK24Iqde6SNzX0bAVnIy4R5U966rlMWQrTQ
+yFiKudb2S5jT/KkpUYdMSmjKEv9yIZ32Bc2geTy6yC98ls6VW5966oeNtyhTfkcQdivS+mRqim0
12AUJQy9R41/V5pm8POlD/vqul2QsOwGPGR6BXvtINxUOlL1Vte8bIvet02fe31gPhmOY3sjw6mm
GQ/SSm3DEdtBLT6AcjhuJmJLs228GE1jk2qbD0xLdBeH0YITgqPpmOVtXNKrhQzyOa6d5FERiqVq
ingy7TMsdBa000rm3MWugVFQz5HJ7SRtcIg622YpTZu3KBnko7c8xhQerIXjQAD5aZ5mbXZtVz+G
zUy+VyhR2F1MMXO3YmwSNIo6eAaklOpTMslhFcjehJ05DR098tjuyh5ZDpFyT8bqIymhOazVnnvs
OLrwLJbp0ZRsp8rYLeYp8IukM89i1Ne4V2/jxDm0fXIkjs1Fq2iGuXEUvdrWCf1i/QhlEimv6maY
rljTv2uFOGjOHu0iNwIZjpSsz0sq7myp9zXy3sztIJ5B+xsgjFtRBtdxU93xlu1Z5+z7sq5h527r
grUTVoLnQjkR1VMcTulWBbGn0RKLojjXcV+kJhq/sbqsfjhOT6Adw+f6Xvk1NDQDfzTYAbmL3/c9
UW58Phlnm9ruMHXkSTnhjA6EuBilCmCgMFYwFyqJe2TLQGc40EACCwlv2j6xSfINIcx4+cyW+rNC
qhpvlXTdzx6HunbWdsq8V1Yjb2IqRUGqD55kYNuHyBsqtZlrUTYZSt3RsoMCBF+udJ9ed/60Gyen
Tg7EN6uwKW6Azr6NWWi3sCj09Ml6lVSFTWVb4+IEZe4B3KyyoN7i3UUO5PFzePqqLw3U8mNs4iVS
4CKFXHZ6PS4JsumGLMi7BjpBOLuCVfhUVNjM3A1rZh/KKKly5q116zoPh0ioE6pRkckoOnenzDd+
yYoYLSMAdZDwmKKfEptTG87XadBNN1PXIlWpaGe6jRwaF7L2Q+B/013NT1L4KsP24d+hp9Ofdw7X
pb9RfUmqLVJG9573vXNcZqXy2dggh9sHeaqqri6sa+KiDdE3OAWKfJZYWB5sehdyZeDr9ZzawYN5
WRpNfOPEXULz0NPLHnYxWJED/J+irJ+7Ru+7MK6GIhzc52oxGq6F1QCYzUmk/5DEhnQHDyd2+bMf
jZuYL9kyNDw8dRNHejgwSLnBOuq723OT3o+pgW9wJKOo2koKtmoNxZtHZK1OlCf+Mt44BobcmZto
7Bel0pDQ03Vf5g2OblqAAe1xXKyXym6itN6kiTD7NCRY3X7R93F7wkZ5S1l5V4UtaDd1FBRTy7rx
ACfxfrwWonlyAFPWp7QkzTYm4b2kpDZFGU2d+wRnmTsaube+22CNa1gJzFjMMoV5036JK56jQcrL
BXNv5kVje3OPERWtswOantqD7k2SHIVnJpLNjkPbWz/g6SaFDeO9HkoNbUieoF0uHFlaCCqd3ZR4
ZXKLhLIJN63L6nsXdzJsBdMgrqZWORNUAgaMCCdasjiZxFZcHdBaDzN0WiWt2suSpQmyWxvimoVM
JslgxuCk93Daxo6MjBsWWqT0thZTuL9H+mdCTE/rbMZKojVR1PLbkvY12kqcoUKbm+ZmLMRc2e7J
axKKdjfqgTo12XS3hJLvg6VrntCNRzKviUIsA7x7dyUdhS39KLxufPDJlG6nctl38extCO5+G9xl
3D6fqiAuNGkqWFPHA5ypMtv6DT3ElUEnrYYLW3BL0R8tsIXjHWxi2sMwVXZB6eMe6vnQlOGkxO9G
VZ03FWrJSUWfFviW3ShHVRaAw6I+DJMiuzqN4yxEpvOtVGndHJx01EE+i8h91yhpgEzHfdtkS0Ar
UkBqCUkY2B8uGpliz9rNKLiLJJE3G5E4EptQnzIYMvvoQXzEzQ23/mmOD7OFgMR2MBMuLQGb2vhq
bgaW5KkUzGtvQtpXoss85iFrX7rFNJvQhvzoV01bJBQX6J2dw3IpmnAaox0XooJvVp2238FdEEEe
jAs8QWAeZ/zCMfNVjWs8xz1ba7KnYyjDg+cZfstRz0puyBiTHOYE8tgGdWwPJtDw0XOn1GxFWHch
8rpBZNjbPbhm1srZj0MjvQ0PPPXcTEgiMieCteu2dpV9J8OyuQ9jubAsnSfbXnGVQsU/4tBUxc6M
T/CaTT945Koso8fOaT6PbTDDLy9MPqpmDItBgyNDDL1TyTKhJwyXJ5KXSBRxD6NDAyKmK/NQmFhs
RousMyvLwXe3I/XsFZQgpuqm9+cTrwZv2dXRFKbZNFOXf8BVUqdZssTHhLcNhzEG0XoLb7M5p8xP
8MkhY5A/IUO0kx4nmz4l+oo3mhbDzD5zny+HCPaJj/OCbTCWQ5pHLvWegrhdSDahYAivEpC0aTA8
BA2Hvy1jMDzcCJR/xFNtkTF+dpoAjWBtUkNqZXGSDiWR1kTzLm5581GWHF47TSAn+z2wY/gZCeJs
d3M3ujzjjHlfBqPwVmXQdo8xIxoWhzrCHqh81LjelyE27FwQkOvzvmZ82GIKs/lhWAYHbpqESgtY
udd8nnKwki55kf2G4v0svqWo+sH5KvhNBIHKdKFO2sdZSh7QEV54wa2HbX9e6j+LpP/n2/Tf9Fnd
/VnQM//8O/78Tem5g5qHPfvjP2/1s3xnu+dne/1F/3391X//1X/++kf85l+fXHyxX375w0ZaPPX7
/rmbH55Nz+3PmPgO69/8v/3hfz3//JTHWT//449vql+v1A/PtFbyj79+dPj+jz8IUO5/C0OtH//X
z26+CPxa1n0xNT//+89fjP3HH46f/A0YECxd1gZNdGmGQA/G558/isnfUrAdVxgOrVSBv+odSNXZ
6h9/hH/zoxSOJuh4RG8LnHtQgTWqX3/kEPI3IEEexFUgnRQBDPL++NfIf3n6//s2/kv24k7V0hp8
8i/1fVjp4JYC1iXk2SFfApOgMzxfBdpFDgo3RDuTTmE9YZ86zsJHYaWLI6jxvngyf4V/Ge6MFvlX
PNSVIyCCKMSf91z0ZY8rTu3dr4Jz8IoDiya3V6t5R7A1J9yA1jbL6//HJlnc6GGHhYcPiyKCni5y
htCU2AloaTX0wfiQU/PFs/hPlaLB+RKDZ62Mv6hhgyWIjjgYX0P/ZnUyTc4ijRSHBo5mkwXXcy6B
PB2CPNybZ+cGiTr6WOzT/CiP9S25Cx/ffrK/R/YwWTDPVgchiLOcgawsaUwiOSJPy51HDisQP4N+
EtkEm7Mu3g529hojWMjAKcuHIRtA1xiUkzNoLU5q1IU6PNHyOvxoH70qc5/UZ9Cw7E+RdnvPIQiA
cuJFv5CfXLIXT3g1r4GNAKBJ14Nmi3fOxGpkN8uw8u6bU4/m7TG3p1XkrinQY1mI6+iuPqTH8RYH
4qq3v3l72L8ulnXU8dprDa19NFshjViRwBfkFxo4pHIgrgfZg6VFodXhmeOjS5+QSzP2Z4PT2TB9
NDtjHq39yH5yti7TVe+NocLX1WhAlk2XNbbaM6Redfdcg4cdcf+qRz+Dag3yLG/rRPces8dIEAjl
4JrE13+zLJCPZQB1hvSdZXccz2rBOdmiCjarfIHwFRSGshoXqrm5HXVSCMVwLRsLt7nUa3X26NY2
Lp+EwJJDUHWxQM4gJdWjLZ7CUDjvUWyP1Xff7Ii7ffv1nDfV/Bbk7P1M2Af7gZWYejvtZ1xl4ilU
IG/wgl2Hn3uzCb6JxwSmuv3VJcz8DCf9LfQZuLgga8QRjfFx74Ty9TY1LdLX9IbZCkXFZJO40aZ0
LumNn6/D87A/V8uLGakY7/Wyjth7x76k38oF+ym/jW/8d12Sg9EX4M6PLZVu8Vfefthn+83PyAA+
AhxUSBig2vbrWhh1XKqpRmETmrfb0BdIoXCdDD5a3kBCXlyIdk62+C3c2fOd7JTasm5NPtTBlYiC
D54c7mLJPwHLygIOe4gQIPXQRgWtxqc29e7eHu46nBfr8Tz+eQsTDXmD6xmGO5TTpgdgFWPlLCFw
8fK5C05cXIh3jsH+GTBNYK4TgTcDzPfX5wuzOUjztHCEBUeMbyEvc7WKiiWnaSzKb6vVAL++NIfX
w+m3Mb4IeXZ4ITutKFRAELIOctz8l5RfOjfO6JjrqCD3CNtgbOD+KrTy66gWyho+zwkSXU+LAqZq
3jFe2LxjKok3kK6afoBv8NUsg82CiG/CaXEvUYUQ6ddxIh1DVoXDC+UtaEPiFvXrl0jBS0dLJgPO
0sywwcbuWEktczX1IUm2QEOQqGfJRGN3zB2DspUAoOusUiUo/6F1OE+dkviioEoA2HsPMEKgoOSk
TQiBj6X2xWzyLmmgZHHoqnJJYriKGpyj+GhXKZSf/ZQKB+T7EaWSDMTRxG026D9QmuRDJ2ULlMaB
T1u1Q7+nwN4fLsSBAOPCuFE/ErXw+uNMPU0/VW0yhlejUJR+qPrWne+1Fu70ScmRLflEXPGpKxmq
UrMqmx1VCUUhoQup3z+XQBxRCi/blkKTrF7MsgogCtu8r6bA9knmRvO43AJPKd1TtQx9Z4t6SiJ2
r3GXjtEFNHgqpLlIBp9umnqxnd0kFR75Rhlc0A+iY9GWNJGGC5wrmrjZaADwcl/bxNOryH9U2r1I
fWBuuGbQgH8VKEAHW4/W/dxuxlhZM+6iqe/caeMF1QrCoU7QOs6OBaRyn0atdI+Dv5saZ9kptNvo
d56jGb0OPJ3iSwV9O7gFF3LYq6Fr+m43YoDTsY5lF99NoP7BoqdpQCGExXvFDjRQIQy60nZ0rlOh
55Gjc6avosdJ1mLaNWEU8gKutxQWtJGTolamAuhK+KE+oQzSBKiNEi80FbbCqI9uCfNEXBUQq7Vm
pVEFAZzs0wFdwADFoyq8EfXU8HvFRKzuUzTThN77EDhus2PUF0LlVanT6mgiStqT64iBf2ilcIMv
AqXHyWyDYLG2PYCWvowPPGIAejKqRdtU2ZJ2Eeyqa0UtB8w36Ih0ReDbcHJzyxzPg6PuYpP56Lhj
Hd4lWpeTyfrO4RUEy2vWSi+zS4qCe6EZbwl86sMw5p88DXraM67IJPqqHBpP3xenAeVlzaZnYbO/
OBslGUxNN9DVoy3LBrN0QAX+omf0A5/t8y+UDGbK0QM8gaQTPAwbwIG+/hcFo5VBOsXFL+yLmgDc
fZZd6aZO8S/GBeodaPHUQDDbTz5qavG7PwkWWgcyfh8NztiDSf+TSoEyZtCeeKesfCpN4PdPw+gP
3f2fzAYSLuCgyJTO7GswxlTfeEOswa2C0DFK54ss1QHsIl7ByqF0qn0UTckToMK+bjKt+1HlsNke
XH/zF/ovqJcK9/AX7A/8CiT4XamdhMMcneCXE7B5pBvUeYejtKnBYbDLYoBUExl5m1F6dQTEWnlz
GeZ0QjUtPHLDEjVdacipijiT9ez5M+rMdFi6rFqgPtShmpWmmxkqp5nH1clpnffwvkPpIkNlj9E+
C3ufyk+oIIXNt6ZzVbhtI5Cvyox11SCe28YxsKf245kPPAt65bRfje4duBR109L5P8JOg3mQoeZT
Q+Re2cjOFhBP4DKd23bQtgSFYIR98zWq7VHzwWvhU9vv4UfrNkC1pU4NgIGxwfazmSMX6q95uXAt
ITI+a2Km7UKipU03U9kCuAdikfRyOqrBRR3/ENGyTmXuVmMzkvuyDyrdb1mV1KW5R1ldsvAGWCNg
9iwNnLC/m3Q7hVikbedaYG2yQs3YRDXqodp2vr1boKHg3AQKqTBC2DqR2RTNRHxFsbnOQo0J1EcL
Q70aRDW4h9C4T+AyMTle0WOVSJEPNKpS1LDRfNnPypQ5m9yUZCbogNWToKHhjyHVbDwlrg69d70X
Wn9vadsYaH7EOK8OEGjV80FVtI9gC0r66pCMbNXdcmRf7+A/GUDUH/VE8+CWftt/n9Kgde4kGx15
J1aER6lovhmrSPA81GPd57oVziOTTFSfZL1Lkw7IxpB2JCpaHZk087vxC9rdxQeiGv0E9IoelbBg
Fo30h9Orj/CauemHhDp5PdaoOqO2hdmW2BJdU16VbJzqwGBcT668UQJvj1iZl3gca3lbgZg0kmOk
lGoeO6K87lCrkaEGT6CU/EB6nbqfBUE1/ggrjdS9LqUoj/BRCwj63oFg2o/rkyNXnIyKo28KcGh9
7KZJFXXj9Xt30VCdi6vTYLTeRNyQXRJV4ggEfbiZ50HOu3qAm+dJl3WDczQth/45IV554zeNs41b
MNy+gtyjHWyjYm5OfgeEClVPJ8Ihb9vHUFfzBm0wdPjkiqTxbqSulmJQ+r0z2eVH4joUPZwekfYa
8BDgoBHslztssKb8iNvPyJ7TLqmquwl6Bu5zJGd3eu+HfNomTSq+Bp0I9wAloETWL7S/bqk78Q+e
GeJ9a9h0cgbne1O6wXxcosnRBwBInn9toZD9P5yd13LkSLJtvwhm0OI1AaSiVlVkvcBKQmuNr78L
PGduJ1E4hE2/Tduw2zMCER4utu9tPFIPLvaJVmrv4IzQ+hlG1fCSmF7N78l8+aaaqqx6pEXWZN/b
wKiGe1iXMv3FRJoiuOnUPNZ3hUfv5sqsPNm70iKzfouayXP9MRNCuzF7IXaTOUw4BAwPzK2cmzyN
eDra4Wy0FOyFEtTUVVnRkHQ63wiPdT0U1x11Ajed2tSP6dhYPHeCqiTNlZ5HZvM6yBTBdrVEShIr
edkEwKPUxyzOWu0bqhnMEdhjGT0WytRo/IVpmr/0EVqbXQdA4yBrzT3MPxV4Iqhb6t04iWFwSmgl
SaQD+mhy6H01pBQrqrLtyyiqdXFzIwooGJntQAldlmK8Y1NHnvpbLHpxeCjyUQ6+w9tsCc+Z1LHv
ZZop+1HJQpeObQqQj3dnqh4EymGTcuKdVUx/z/lXBumoz7iVwZ56M6r+dIwvi7+TGnFoptLqTOt/
iArSpt/9WBisX1LXli2MaVAEGwx5GABs6EnzTyC1FCEBxrTL8i6DYzHX8yxGw7hSc97xRignK9tZ
dFOG50Apko7eJO8hquttFlDxo4RcRZFuDzJ91jtPp3IR2U3qlQ14LAKZNrEV9LXOsljTINi1tIOs
7ErONMmPdq2VW0jWTIWceKjZtFWrG7syGIU8diyz7iJmd9VxMP4kYqykz3HVdLXvpFRg9MoBdC2F
X3nwhCG1awKum5qqiOD4MQK9sqv1Co0ZJ/OBw0yHNEoiED1pngSNbmdEOtld4OnotuE3jKC886Hs
DBOOnjdMOSS83aRHV3WAMky1i2keV+hjgh7OwXypdfXYaf7UM1/YJHKj4rENsbvKqzEWwFNZvgA5
OV2yNrjvNSEXfsRGpxQ2cZR+nPrAYhyUcNSvn4yALnvmwAYXGLfSYEbkAnUasye27HuZVIIYEnrv
h6cZgpm6xGFKB8mVGeO3kYD2+EOnttTkNBiZWvwMhKS/NUeC6o59ags7F2sx/R60Xa9q+0704b+e
8jzovoN/6JqDXud9E9kT0KosBRYTjN5TZPmaCEVGYH6zony2Ng75n4n2k/xN8/zWyRrDkOyCZjC4
kKYa0MjibyIZsjE/7gyP5mpYjvfFkEUlDI6laUSAcMwqB1ogac9tGqlArwCFsnlR1gDBUjm7Oz9T
4ztCmMbmSwFwDeKsKlJXRtR6L411+60b1G5PLmUYsJz65ZTfqb7pieCrOKM7CTp//2CYbR3f6r2o
hXeBAA7wpkxKq/89eX0ZlCAXCukpikpyHrCFRvEAFiqfKZdlhmMPDc2QHpRVYlinbNJHldqVWe4N
SU41KC/MXBCRk1dULQjgjZCq0G2DSI7cILOE+kkIuCiMLA403coole9Kr47vZdKaq6jWMjuUhDR9
zsRg7ssmUm34TlC1IBX9hDNYV/GoprDrtgMdSNErwhykDbCh16EV+m9qpwbHaBjgD9fV0nod23g6
Iwdew4kPxfzk1j0wpi5XojvBB1DjaIOq3JB7WG81jd9Hi1t0ryRqcKV6evBAwd2DbE+o+aQ0rUFy
iFKeoKuZe80D7lqL7CQL0ltDVtL8qszK0jvUGvgeew7yhcHp6nEofiRAbr5UMTfXjzX9yGcIYm03
CKl51Zp6fgzHtqz24LnG0lH1carcmGbjOe0r8FxdIxqjDs6hLdDdo2md2hSwGtej2vtQaDj/B9XS
6mF0ILMMfsvTaJ1yj4yzq2QDgCga5zYo3NoR1VhWnqFTDPDAicKsEvmlDkxwBCugwKKWVUl7VpNC
6e89QlqUNNPARCZRLkNtl9WaJZyEfqAimVlSIe7qVAnk26Afm8HxwjYD2QnwcmcokTZ+I6FrbHWi
rx35/B2dXKu3J1K3KzHOhUepr9ubqUsMZwoG8AwG2SYZmIrjFsB++d5IM1AoCw8IktXnRbEDk1Cq
8S7sATL0z72vV1x6MOGm99p0UQhDg9lUY/grNMwIGYx6iOL2J8jLfnK0Ua6bk4k6cRo5EZl8f5LN
QS7fvCpSBsUZSwjG7Iqk3tqJQWtVv3sxzGNXL4380ch1sJL4WypmYM1PXtkiFhzs6C50lkt/Giol
pQuPTUunoss6UXBg3kybH4UypqF8TCgMtfm5SwXBRiYe37GLysDIcBpmP+NjNB6969QbOoMspZGz
wPbNSespZIi1LAn71iry4QuouSw08axa/EApQVJyQL4KzdVEtOjfD6DCvHMT85ZmvW7MdyAJKPF7
g92AjQmu9flN0dI8V5/0Wi9tzSyj01iGhDWCGkfPojX4L6rolfGTV9XFN6nRx/BGnVrPqIx9JcrF
XZGpQvsTJLQV/0oMffSvyl7SePo0jLGsWJiGzNtpwN+y1Aksds6RE7O4teIU/YIhE11VLrOvPZCc
56gezFMnyfWb1gqosABvL3kaM+vUGp4XUaaoVbH5AV4fPAcHx9eIi4Uw9E85RxqcKgTAaUWhopQ6
xjfStEqlYU/3PEn0XRK1TfanFVVNBNkt61NLkSwNxi+63mSPcQXdAUdWA4ZW2nTJE+17S3rOxhq1
GAu811ZEhtRneppNdpo1Y/877fIhf5a1FArQnTypMakFheK+jW2B9EpBZmqGCgErIAmnmt+DcCoV
tD4yKLtfGskEX6+HoLojME0AKX5FHTWK8EaBbUxB5szgPA4O5aIgG51sjH1qSeQ9PvrgYyvZipJM
M5i7YsztNa8JDA237+O0pewyKsJZVBPikjaRkBZRgV4PwGxSI/Rey1x6HTPDv+lD3dx3ZkZ+1uvC
PdmbUNhhmAEx6fJ4nw9S8JBlhur0UaVQWOh+K0oVuBPzovuyimY4wGBFthL2zNBZIa8knS1XZdBg
zymFRYBDDe+iBNil9JPRVnrdP1We1lVvwIcGIE9iRZlnKp49TZ2OPNPU/Me0dYGOBS+0VyFSbSTo
01NVOZVNGdhVGOZHqY8VR9f6/lkQouqEeBjvhi5OrWBboUc5KJJiW2un2E0l3lLZ7wun0vumcmq5
FsBEALVDswbUTDvtpyxWK8UOR30gagaP7X0V5Z5ymC0klVU/SnU5tuBmqcgod3x9qyuOnpGm4wCY
OCT+va7TTqgc6mfa2YyyEO6vcRLcgPzzl1BHxjMSELrM4IASqCaZYdASxkqCqF3ljTI7R4BGWgxG
Nw+V4WtX0HR+a6Ost/huop/73wlQAXDsvK73S76Chm8tmdTVreg5qMNY4T/XVEX3x+/NSmh3pc+W
Af6ZcpDJTZg8Gl2ZWKS4oOLEoy7Cb/wkKzGFWifVzIw/LUcpGQpuUlIXwQ0Zj9q89Z0Whr9HHZBz
hVpaXiV2mYX1S8hIg7izpEoNHLhHvKw6DyD1s8rmF5m6uSOY7w3hpvGHfHydYE60sqNZiyHphClw
YRnL4caDRI6mWmQ2gCs33BpN3gSqCzo1gZlB8KY86c4B8zOpCPTHHMPSDWH9tCxhFyUQ+d8wCgT/
307Pze4mqwmEoYWuR238KZQdiCDfEr4ArBonBgEYyuyf4wBfBhJvGMYcDcSsB3Q7qW1Qqo4fIlNx
XRRaQSwvjC4OjzouVcLWBp8ISNtsu1TFJHfZCH9TuyvN0Y2Bp4WBq2qGWba7Gd8/fR9Hink5J08N
tXjn4Xw8R4fQRBx2OrVCgDi5qTX9m15RLR7sTGWGbdz7Zp7oJ4TG8ufaYH+SUw1smCzIrNtuBAlf
SX36JbJki2kFj9ueHENlGrPnwCNgt+s5DD4PuV5CkjtDcmxBRa/mJTHU7oeVJpXxu68FLbUlDbjV
DmhPGfAAGUNzSpiuUq7m2Kk/i6GRfCNDHb5SgFHjl6bpq3Afm/Egn/126JMnr5+C7iCTCnH61In3
Q0iipB/oi4OkBe6XjBTH807Gu9kt8u3CtZRKMsR4RqCoIGILqnCSMU6jv+v6rOI76Kkg53sx0eqb
PuhnCou+ik0j200i/vVck3bn5GsV3GK9FlXhMayRgfuelGknuQYQnOYhjbNhHhCKxOeqDcRTM1Ti
taSo+VtlFJN2K42d1V93oy7fxqNRgubqvYMoFtYfs/M9dS8wMUHmasgq9xaVHcnWRkX07qYwlWWX
ai6Ax1TyprcoDFNbkEhQ7dAQidSbWdCprnrtVwt+HAxg2Uaj3VIqAuolN5TdzEHXf6RWDHKXwab0
2NRhwGCXZ0h3WZq0X2ooTAHFNS28ElEdSbuJePsuKP02s2OZFMjx2tECtwun4S7XAsrErVDoblNM
TIW19CV58hKtmx7aPB1UO0jqqX8yuUtvUqcEXKTAQ1W+0cUvU2xF6Y5Xw3+JW6Wn1z4a+bdJTSmY
eIY65LZapiMVGkv/E4ZK9ifzLP0m9phe2JWqyPxg5wVXgSB15U6RJi0ipEiI93N/lB8KwxxuyAzE
XZ4LqmuArIKPk5rTYYzK6bdlgl22LapthxGyvZdRMLK3NMrFa0+egusq8aJjI2bifZqL1q8p9BnD
iJj+ReA2SifRrmSvBYIoye0P1fCA8aYiiLxdz4go2N+AQx0Ciid8QVubnIeB12wvqxEJFlNplLZ4
S+J9XXRyaCt0RfxDUxm5cqZ223cvYqOXiV3gcH7GsdzdkpUMbiHCakoZLG18Z8qlsL6y4p7IRS2Y
47b1uCqKq05ORcNNxHIUr0Y9GSfG7hpmN/RSDnuHaiCtGtUI2mA/WnSDjlOt5J6dTbLe7zNAc5lb
haTueyGXO8cMSmIBgWkHPjSBVbpXJaVNnWgAuW4PlWHdx+QdjgwgnNg1r4czKGYhuTfUwpOYJ+tQ
B27iMSJ8FzlmO8jWO+1e1ONWswWj7Qc38Cyq+Lo0cEk74LyaI+HthwdPKYvmS5R0SuvWUs5HlApV
lMCo90FxNzHzpxG41K2yb8NANp8sg0nDPSViI34NpyiHAEMyksKmUitSoZfzkiOr571WuIoixl1i
A0ZVw1+JX7TaXq1V4d7SqXoGZwhXxJjaZ51rDuN0RfAt0VtQ5Yg3RP14PU68z3aOY0xcSRTKUqd5
THf4kAowA/qUCLRU0bgAY/qLgmPy6NVeroZOnUweaEWYw9vr0aqbKyGNC9M2W1k9S1PZ1Qdh8pKv
fSVa2rHJ1OxGGCHUPDBmFuVApzW5eKDWaijuUHHc+de7LPgCLLSADYbUNbzrlEFgdD9SIGmlNjZB
adpG4ZXfpJphZ3EoMPKhtirAXJOg5BxBMfmTIJ+xSznNe4NhxYqm2iD7ZrdT+7a+FeRI93djwSPo
ZqFMj1hKjB4qtkabErcDLs6ZNFWWaBZKdy6yOrsPx8y8r+IsVGAdYfRAHgNyxHFm3y92uedP2blR
lNS6zWjjgAucJLUZryu+TPLgA+7KXE0pwvras1LrxxQaQnIyzKasH1qLJFfKvEy06cy1vyqBRIzC
H2n3sxmXGoVEpZWjmOBOq3EfYiIXChNuSu8Reati8NUoy5wJas+ijub2iloX3yv+bS50wLaYr5+3
9pfYAkgA4XxFIExS4JilbrXA2hhxJgXFAKxnVtcr3tIzuh83wtn7sU2tsOTTfm/rY4ZGAMg/ms+L
tn4vZ9FIrFzZkcxmR3cFzzVUCLtY+kEB8phSUJem5iiG46Gsa0Y6iUHLY5H9hq5j9/m6F23w/+nF
S2ByGCSfWR4Ww+S91PJoNWoN3FT6JojDdznKEEeTqu+f21mBFSiiMmswgmWc9RU+ttsB5kGtrTc1
kYb3WHIhCi/fQP5smVh8wSCqpZo5jNpOrLY4+XHlHc1h7LdAKCuYF0WcJbBNRN7Mv7TtLL1paMbV
tS2eu27nPYDUPaDhV0Lwb92M+/g+v08dEiBzt0UOs7pAleqWqlCOxIV83MMgEFqmglv2MB6AcXuA
yy2j+ze7eGFkcTblJFSrSOpqm7zR7ZofFjRSnx+F1SN3YWEB/xg8eiJZiwX60Xud0tVcnFKKjQP3
DlpdAFmgb1ZA1so6bFjqwozB2LbGTHhtw6Kwr1TlPlULpzT9YzyS6BlMSNutOFyrWU4jKfzWM1ca
F+mGENXqJzNEAm0Jr6KZi2NvUZSjZjEBkOqvRlqktff8+WYuGcfeL7AimrPYBJITQAU/Hop6augO
eYBpzG9o24B0Q/7hoPa8HcfwgCifO3yZboIrRlzrr97jllbZ2rdEpdMk95z5T5YQUI8GsZcRedtj
xiicnzmx+TJInvP5ItetmIy1yCrkQUsa1bJXK4vBWM6kFYHiOFYkNBpdiM+tLJ+A/9lKrvV/zCzQ
bJMiFVqcYIZYxRWAJecvDCbf0po+qhvnYm1Fmgp+G9JS6KWsxVfzxwl5vDSo7Wy8sjzPGYxbrd3E
y625qksriwVZRqh1dAk4fT+z56J1M9mm0KI74mvzfTjkvKTfzH1xKM7bzKzrC9RgYwKKbDJH/PFY
Jn01iUqfASPL+ttGSQ9DFzxCMrHxzZZI4Pdvpmlo5pi8o2CB599xgX1U1EyoWimvbfUwU9OY9zPJ
cw0TpPFYuNnX8Lq8hpbDTQY7uCFl3OKcWlLg/q99NlkF1aCAhf5o3wPzUqcp6wR7+aVzhF3qwvrM
PTj7rvw2Y9rTg3/IqUg9B1e65zCmvEVLuYJKVDQQtf/5CYtnAd4As5eI5uwxgvWAwDCb9k1yLuWr
oPre+fUG9f/ql70wt3ggENZDTG82R67VB0/UWfui3Hhk/4/P+s+a1I/bKue0H4rZSHQyz/JZfexA
P7a3cJTd0pt2o7tIRFpPxmMjboBW7xYKcv0H8HQgTm3iXN9DuItzFU19Olh5NCMv2c2T7HKJjtlV
+oK6t118l3fNoQDXXhEsykfj9LknWt1iHdI5fJFmiNJii/t+lPpJxLhhvTTRXR2/GN0G3/Ac1y1f
R4IxegmygsrNkgdJN7qxzkegymDK9mkk2xmSEUKf7KotS2vRrqKLoggOaUZ9LlGzCaTJZhjjhbSn
4Dn6JYQ7FNqh23baNwT1Th3Uxm57jL9+voerDyPyw1DmiSoMn0vwfFxJ8jwlWttMLtv9F1oge8a5
rpAKfdGdzo3v0UxnOEAX/1WcpkuMB7BchvyXxHoWOrImDZk5hBJfxInR4Ngqvmwsbz4Dyw+I1LBl
cu1hvFtCgye4+gvRDP/H8Y22bI83w3G6nWxv57+Kxy3yubUjeWlucSHrgMNidRxJBpSv2ip+9mTx
HLXjxrFcNQPHjAaQEync5VmBl4lpcg0zpQ5ZPq3vqPytZRukfUuZx3enjXYxh5JqMqXb+XJcXG5G
2BOt94bKrpz41rizdjwZB/VNO44uUyR7ijbXkqudZ2K9EZ6zmTmw2giz1+7f5U9YBAAgLsEEhyP9
gRaIpvHcdncZ49u5ubGh8pahRQwQ9tBbwWDFTMJJPMyPYw5Qzwafi+wGvRMH+aZHBl6d+ZUcr6iQ
7WdvWlxbpy2fOh+R5Yk1Z+w36HJECpXFU2nS5VOGyahsI2UmqjjmVDg+vxRrFqBEQwyb3gtXb/Fd
pSzsq9KaKho4gpt7pW11WxMP7wy+y1Vc2lh8OCaiaa5VYkXAEd0bp+5VPUMb4Cb0A77Udm6bb9Ih
PNA558n/lUBP67nKKXAHGKnDbb7hec8++zWLr5vl09CVjGS/O7n6Ntl3R/Wuup117bYEY/4+SMy1
gbRQDVVGaGqZaDBgLAhcpYYanbwztLPu3dKN1/Knz7+h/Hc4M9uZZbCZSeTJWDx+ZRN5ekiWbVd7
8zBc69/RyihdsbTR+nEB1J4Ztn4ipDp5TyZzLZUtU2xMEL7V7OpgbUcCf2/xPK4kMVAn6SLwtMWg
AOCIIFc8v+ODQz38J3uWrttDaecHgrxjsQ9dAfVzurlK5tJmQCtoU95zZcDnw094J7y/8FfoytP0
m39C1jIxSYn+db7IieOd5lg+GRxxTyzv5htP6Iqf/Gh3cWNzqpU5fWPK0Q/GybhLngMb7MLZfMlO
kyO/lJx2x/rWOw2IKXsYQXLs+B1nY8Nfr4zBfPwdiwgXnDVDGibrl7UdyLAb/1gfZnWEQNvrO9D3
e8uR/usQbDZpiqTsIrKKy5QTitmR7nfY2UDR6mOSosKtTpErFcXD5+f9/1jcP5YWVzglXPDQk+i4
wuYBUfivs9JwepLcWYWpQ0Vxa6zw74v8cWmLAx3NcVE5owbSqHgxpTszDw+JpZx8bePt+dsdW5pu
MWRDWsYo7LKkOkLsY5p5ybEt8nNuRaD/qw1vsWaCSVcSaYMA868R1EnJa/pX0FRZU2MDruySxvkX
3wcpGoU4mZlFpqM/BgsDAW1PeWn+PvT+h9f4O1RixwAyd1nYx8/1M5xBG4dvJfuwNBTBROoDKgS5
yuIhayoqj20Go0cU7sbHRrGNn9ZPCAAcyBBt9Jie6DbVr/Jr+kvG0yf2f/9Uf7S/eOTQdRF0M2JW
AlnJPYpGLpMMn2/r34HeRwuLUw/CJANhZ3KljfEKjA9DrI1fwW4hDBtBwcpA6EdTi/Mum3FYxjGb
2TgzgPOPgUZ74CAAcsWsyk5+rb6PT/VTuCk7sHbPLj6iOo/BXXhtEUqsqpM4OGP2pZHuRf9Pk/5p
xrd/s5HEO6ZlqYyzzRt9YSUwwqLRio6mWSnd5GF+I3Sew2H+Fxdtvs3/MbM4kfCaRYlFl5jAvHYT
xX/xt1Oa1Q0DZmTK8MLOqe/HpdRDh/aYZ3WQoOxmnv9in9sD6FJ1R5/rAbCWcJZ34lcDSZMtUvk1
P2JdmF4sD65enZ6o3tlxk/uwRYmiI7VbrmT1zJvztCyjnBI56cf1DZanZWmNs9KC7CsQrwO4I3PX
mMEGi+6GnWUSNY4J09dShfdQaqbN0shN/P5bmG1pjq18L1IokG4yRA6IGC68RAfRcS+V6IuqLUBm
H+1ZubC1EK6h4Pfnh3ylzGYRfIFbm+c1qQLP3+/ilPdh1wExxVQeUJ0dHOG1RTMkRrBQvxbs/uA/
oLnhH2pnKm3lNxx59dWmBOVKIePjj1icT0JVJdQ0fkRd2NlJdcubRtx5v7qz/FOxcyc4e7Z/Vx4/
X/rKx2Tl9MwoMGqitsxpIF7Ks9AgEMngqhOArUGcKG8yv6xUS1ibKpvoT1Ev+SvqHrIpY2iQt7pH
1N2nvA5tF0NPCB40V8HX+ifTAwgHmXvrS36nbY05zyH9xywG4/qsQilpiEiIi8fAl2MjqAqM1xBW
HbQ9C7UN2xpt704msi1utkqmK1kcFmlXyJCBSPQjFxZVcQyMXGNXhSdpH9jFnbQX3eROfTN/GS/h
i3o3a75Lrv+a3VQ3xmmup4xneI325u3WB157nz78loVbGHNmH0rY56h1dtc9Ug82vGfKEQWXXULv
AdnwcT86qbOdPq54vbmbQoGYhGseMv94q7o6YyK1hNkwGeUD2MQc2Ejzv1w/H6h+LtleVo3gzThX
THuz3R+NtC39xBYknl1ZR2vKIMj/r3spfMsLA4vsgFn8WJWyFDcUw0ZdWM3Xckh/12Wz1SvfWski
M50iQTS9nO2KRmY1+rDaw5gWbIUrf0/Hz8tROZ1Up6jtLVzdRAUl7oKCC39tnvOzd5IOwmG6yexN
WZ3ZP/917S4sLfxZApcWnNqkdzUo7x2gT/+xrnfFU+SwjzXTkQ5sDv6bb5d3obP55K46tgvri8Mn
dBmzBR3WzcHVp7MWfc2LjVbF+gJRFJjLz7Nv+3j0OimqQNnkkNiKPIS91Oxjsb2y+vbIt/ym+m2y
8fHWMmZdpBlFkYv6Ex/yo8UQ7p+qZ1TaTq5pDBysO9l8r1sQkt1Ot9JDeKL25Z9gM3ezG9PuXn8V
h2Aj7Vrd2IvfsLhwyE3HcI4Rd5qt7hBs7YFFv0RKsrG5a7dBUmlqvwNm/mptdxDweMLMpTRlgE1B
YkHY8PXzt2+lh8+894WNxdX2GVwazPnG9TSBACEequP0kJ5QKN4bpy0+o7V9uzS2uN4qYGULCDHh
ZyPslfkmxKmrDZ29saj51C2v3Tvihqq9CCnV4vvAICwZU8UZGRlheS7dFgXtlnpGdiXg8rUDLKrM
njmzqIu5YXt1ifRJodtDdAV4xMfjCRqbKz+SdXmg+ywDeZziHmmt/cYK11wYRFRspqxKmrYk+GCs
N2+jhPSR2QnVLpmncIWoTtwJPr8rOagnB/xsZDNOmZ68uil/VRAcHz//EatLvfgNi6UyWKT1UUZe
lCPtKIDfrB5y/18Upqg2UyTS6BDSsVj4sBKq4L7ziAir124v/2lOuj19rY4dM/No2diR699tpeZr
68KSIkJgghqQsVjXmBfUphCZswNN/ZPl9aveDQcmKn/899tHGKii1kT5hq/48aT0QmMNEPDTDxjv
/fxJ5Z1LvYfPbawG1MxBg4JT4SxDA/2jkVgL4kIdMaI9zR0sErwfuT1rRk52ddtfy5AWbZVW5mBq
efkuTS6+mFwzZwvNZPuOF6gRH6/c4JjuNynu1p6eSzvz/3+RsOhBZgyGxtJmXEJzV4joTjdXBisb
XPMqdpJD6IiFk22WbtbOx6XhxZuXwxwfyD1sq4L6aOgHEwIsodu4W6t++dLIImStzFpnRJHVGU/T
fk4SVPSH4Chz0v12lPre7v6/vxmJ5se9bMa6UoqaJWXXZH679nfg/Bzs8Fnfx2yg8fz5qVz7croK
g7rFwaQJv1ibqbZ6Js712DFqnIoeFcO9u6kxGPwbbYhXPre2mnhdmHsvBV4clCbOoYGI5vJvtVOm
W9ylTZHPrb/lB8tt3PReTfa0NxAUY0TxvxUBphMK8vOfxS5FVMHzD3UHa60tw37OMEJP+qzmP5KI
WbGNhc7P2vIrXppavOUiGCGGEUi5xHP6WKDDO1ffvNf5km/dvrU7cGlq8ZLHLeCJpMZU7E/Q6jfm
gzpmw6GAvmJjUWtvOQJpJjp62kwktbhtei0rCeDD1i5daW9+551hFow+VbCv0p384tMcmmEqQ7nf
lstaXeWF7cVBRY/OmkIT2y003b5u7erkxYruP1/hakR7scKlIFPT930OSKUlSZD2CBG6zT79PvfJ
pV10N+xgldpDiDOXoQ1bm+tzu200zlqoOdN2UgifwSrqwmnTg/I6fRRae/Qb2xhR+hC3CoCrm3lh
YuGvAa1DCK/SYopS+Nw1aZfHAI6GrYBh/qV/XYILM4vzojClxHgJK2leE0YO3ezXTFs5S0ErZ7Ny
uj+KzYCruxX3rb60lzu4OCsW/DxJ1WNXfSAvcQGpHYO97vTUdKrDXFwQnK30cmNHlwenHdoaXRJM
+vAJRf0+QIiqiA+fH8/5d3+yn0uoTSOYQaMwXwC6Qdsrx+aoHSB2Pm8hr1efoIv9W0Kvi8YI9HD+
bgaVIlSlDoY7i2kjykzf1fgXUAnc8j/HZAnuKTwrgKkBc1nt20bX2qg4fL5x6weRXj45KkHeO/Xo
xbOTBVGQMMHCxsEHpEzMuPzplWst/PW5mdXHFFf8HzPzzb4wU1DgtlAQ4hCAx7INXwQtLzDfImRw
BDBuNlw1alBteOVVdwEglNx0RmApi7vc6uM8hM+jJpY/a7hjom6D4Xd180AnyRYro6q1uE2aoAhe
NlK6GCXfCcebsaY0WP5RUVP6fPvWmsPURf+/pWXnP8qVhsIolqITycXB2iVvtP2h29m1jrw3flcv
W0d9dfMuLC6y07iuGJdjRtMu+q8CHGihJW8satUxXFiQl2eCGNxEMMmGkv8oa7d1Ay8Vogifb93W
OhYxQG7KSOMIOHSo3Bxj/OEN/z2bLZf0Yh2Ls+2nlCaYP6X3PNyaxZUeMQHqbbRyVhsfl0bmzby4
QLBzoZRlYSQ4we7WOIznuvWLelac7M48Fa76Kjr9XfNncNFIcCxglf+iZHD5AxZvbzw1gtZJ7COT
Ya6YJYxs5i4jQxufazWlAGDIiJA6wzWNxW4OkJHkSoWnUA/Ga3/jnQi6z9CcArTNbrbeptVn48LY
YldraPStSpq932m4nrPA4Swc5KO5UZlef3Yv7Cw2Tw+jDDE5Nm8Onho0kGZ8VravCAmjK7Tu0/2f
5MYU3c+P/hpeiJP5z14uHGCtF5IPmUVrK0/Wzxmd1v6u7bmQrP5kUnhXnhpbvCp/fG713ev99RbD
yCUyek9Sv+x3w08y8MbjdhENsoWdtRfukOHT35tI6sE7zLh85IzOiN6d1J0Y7mCad6WX9D64LR7r
u/649ZXX3fQ/P2jhyiJ4O3PYbmB7n/RHZpLdWkOhoRgd5hD2ny9+tYkDlvT/L37h1KIk1yKhJ42D
cnL3TbXjs+zGrvlmEf/XJ+0lOj/5juZsWF13cv9YXTg5a6jUronY8m6PTMN3OMnJq8iNg6N2Hm78
zZhuPQ6ywIxDRqhp+IWP7khrVBlmHGqktUsM6zSnbC+4orJr99Y5BTkqpht+YfWxuDC42Fcz8ns0
RCiW6nOrAOX3HURtAwxR+UZANEfef53eC0OLrcx1KWx8FEfQcH2yvLe8eG6Hk5Xe9tEjTBwbTnX9
hl5YW3i7RPWY9p5fWfWAeI1opxSHpNHW73oHWueHOaaUTsJpqzWwggaeyeSR9wB+C7/A+zG+eE7g
2Ssmg/lIezxDYPAwvL4LpTtIlh7e/9c+2KuOcvDvw+vgcS6z86rsZ+Tq1t1cPUlk/HgpRAToHix8
lCxVWpLJFHWiU3J/85w56UG8Sx5ne57dbu33WkX60toi74piIxtHDWvqIbmv5yz22O/z5+i8tcOr
X5ZKgMFwoYmoh7q4IWrgjY0oKNB+3KhnQ96lx/LgndC7126Mg76v75KH7KW9Cg6fu4J5u5bHFy4w
wM+gVEUQ9B8vZoO48dgHuPww7g+BcAjKAc3JyCkrWByKje1cu5SXxhbxbyYm6OdF81sdmG9lnL11
cfHSW8VG8LP2Sl+YWQa/TOf4oaxxWLNreAPYxXZPUfi4BWNZDT3mJiFjjNAHmssiDuRAtajLdJka
R6QMnTnS1QzvG/eobj1s1aZWQ/q5qE5+IgMnNBbVzAAa2v9H2pk1x20sWfgXIQL78gr0xkUkRVHr
C0KSLez7jl8/H+g7o+4iojHyfbAfLIeyqyqRlZV58px8Lrkp/Hfpi307/V18TDzr3bCb7pXvsNvt
ko2L+bVi+cY3ziwKLunPzjAES4McBCNM2J52KA8N7Bi7zNN33W7aTR9Kan+uekB/8LCJm1mLrOcL
FkK4r8dGiKoYV6P1A0pzaG4Cz2nQn0zokTQU/ClvXv8Y1q7Fc4tiLPeLDgIrLOYl9G7at1rbuO7X
4+jZlgrxu1CbsMlV3jDqe+XLsp8QSD0DyT70d+WH5KPyub+DJ+RY3Qw3sHXGp+6eYZKD/xx/a/7N
R2Lq9JuZgKT1I6w1hCknZ7aeNmygcP/XJmTRxcGKqhn5SvPURbnXNRaqotlGxFn/bM4sC3vQQnUW
tzINYGb0jvp+PAX3r9NHXgRw+d88Q6wzY0LGHivGFIYOR9o37a9shES2T6xTjWLev/EdAHpgEBXm
cl+HhM9uSOStGyfvQePISQf9LtQtfbtRU111zzMTwgcxGkOhyhkbZ1c/VQlS8I0q41reC8IQQDSQ
KoWB6cu7IIFrfCorloAMtEmxLwraT6Fd2j9Vu0yNm0FyUDK+/sWtmLQs4Com3V4ZZxSvH0h7IzB6
0McUAQNGJv9TC5jXaux93CmQ8nC04Z/fQhc2hVtozu2hgzRk8NAY9YzhQbVgAZ+jP0dTnFmB9+Fy
MxVz8OVoxkqp1JAofSymD1Py9frurdynMMGAYV/4ch04NS9tTHAhTWGkozMY3ySo4ErZw2RFu//O
yHKEZ46dxyUMNDlGqkrdpdAUmv7RRNbhupWVPORiKcufn1mJodNBQhArtXWsTeNWR/qmak5afARt
9Hzd1qrTnW2b4HQxuq1Ib3A0xuD0j5GspNCk1PQkIPamU1c3N9ftbR2T4HAoeowVfGzQnw2gsQoL
JqHyLoQE5LqZ1fBw9vkK1zXcu4h4Q/2FMPDDjACmPGxV4FYsWCBQKFwymU9PRViIOU0qDPqoTWqt
dEqL4cHQ1cP1RayQKRA8l+cwr0Q00F71V84cITHzsR8tZIPRHfeKZ+UuerfU5pvH7fbQpi3BtZ3G
SkYogway+/EeRc5Tcl/dLH2U7cmIV+yKkExdrEtwcC1oNaVTsNUfWpUiR88TODuWp+xovEs/OPvo
70X9TOEJ3jKN5rw4BVlV6f2LMu3FzxB8v0G301Eytjeb7aeym3dOFf+LqASKh/blotMHRdDlpywb
GSSFcYgC66TRG0ZheJT02i2gfd8ITWtNRlbz25SwqSFso4Wls5r43rzNd3CJSF5+cuBkA4ZrxZ5/
6veM93lwt52ig/nsM8N6t8zfbzjt4vhvD/f37xB2FTKuRKKEhS6h578PTrzKf6S76Hk4QhI5uHz5
9d459s/Q18E2jZzrhv217xKWZETlFl1HeH4ud7ywYTmPjJmA1imuZJQIU2xYWAvP5xaEm0YvpraS
MySNirD7PMvjt8ZIbjR78lrI5TTUNK5v6FqEPjcnuJBVFiTJYwNYFu2jr0GcKie/VJKFPbD86suw
G163t7aBFm9gYFFsI4w7wgZCQxdkBTdCa/8V9ro3jsHxv7MgHBEaTxPyuliwzI9yqKLw8fd1A2sn
xKMXyL9BNoX80OUS/Gq0qlJZDESxFwfOSxAz8wAJ5UFD4sSDL/DlusHVW+0sdRNcIjXjQBvgaqHP
yAy4/NMYLbcYt66ctS/rPEEUPAGB6SCUNGMJ0cv0JuWm19bzVljcWowQSKROsSUkV4jO6rxT9I+5
AvwJAuPrW6YsSd9ZnEAtTIG+DWw2T5LlVSIkhX0Qq1EzxegUObP6KYid6FRaXYROcpvviskwD34L
RMEwk+A0z9l838qa9GeJ6T+/gd8BbA55c67zS0dprTok/YWdXDN+JlDHL/xI/N8bSxW+4FcrlOhA
5zCzz2tCsKI3PapAnSMz9Z3tkkJ1VaU82otYpL7RVFWFs/vHFP/m82VvqWVdLiiHjZx+iQThYRJD
Gthru9iZvsV5+aj2HGENcNYN1Nn3lLIpwfl3n+Le+tFlWun67aB66jA8OW2k7PqGCkPZODByNpW2
DxrTcrtW1b1oUe+hh9Xva5j790UL2DZwNs5ldceYXEcSEWanN1NsxZCnSjWFcNnycPihThNkqVpB
bVeVIQNSBnN/3RmFmPfPtgEGhUmKsvwbCi7KTJAvSvgBsGIIWB112MfOkN5ct7J2OMuUF5BlYDg0
AC4PB/mKprVAFDPpjVh1/jm3XsJsa1RzbSkwQ1DCBL7u4AiXRjTD7yeIdNFdsqSDolqoMGzR962u
A5myRU1Vha5AuOHNsFCUCLkjt6zRaOsjBaRWnpYfVJiDT/9iy7jI0VTmnzfjcfkow61K0dlDJspL
DVZTvqj2VoNETH5fz99SLXpPyPAYlDAvNy1Gmrzpyi6HJb+nfNnk3TvJl6XnSUsdrx70b/bkd8d8
Rj7ANNps76OldsjRDPx6fbnCxUXdFFYI5KNh2sNBTEOI8D0M1YEBI/YO1PzsW+5QUIEKeghtn/P4
x3VbYhH1P8aYpWRUhi6GLFzDkDn7sTz7QKfeL7hhq3UzWH2sI5PK5N01ra8t3LXgm28sCttM2zry
O7vPdpVUoiKBcs3Gy1nwTAo26isBKWxmkOlxoJfnqJl2r8m5BGM3rN5hGiAg+F5RNqqFy19yeXGp
lLjZMSgDVYM049JIDWe5iUJl5oZx339rrUh6YZZJjg5IiCk3dDEt1UO1YHzUa10uN+4SYYV4KsYZ
1JJBzJtQQgmHNsoIRGYFX4BSW7twnh5qc3ho8uqv684hnNQbM8JJWWqgJb3JlYUcwyc/yH44Trj/
cxPLqMgrURHsBsJZzVZrMj3ky55i1qeYappfbvnbcrGKJ0XtjrgBCwXa8UIm03DzF+XM2JJqZZZn
o8d5ACBR5sdojnKSQSOlNjlOkmY+q2hSGzcjAIqNZYrNrNetxFc0XvDcZTDEXrpLF2SK0QWpgpYy
7IEvDiLK4+fg48/spnga962XPPLE3fgOVhd+ZlPYW4Qs9bzTiNBVPGQ/7CSQXamWEHEBrP2o+z2z
aXZrmu6sLATF0/H6ya6EUzp3i4OCHHMAnApLDtO21ZIsZVxskjUvKVr/W96H4TOM2K5i/82oprWL
nND+0sZF6bulXOo7BaGZ6z9jzYdVFWJNSqkAeW0hmObaXEi2xk1Y9mNL9qL7kIcmRS1pu+uG1r5J
WO4gEEQIRdNFJfXZbM2MKTyuXMKPGyU9+mAodIHwiTbAMMKSmInjSSPDgcrskULLV7jcxywPTBud
ERfdoickHz/UPhXV66sRcq//2GAibenmIUkt+M6kT+nI6AWiwgj50Tz0GulxlO8CcyMb2rDz2ho5
K24VTq+UrVnA84vGEmzqkKtO9rG0aOIpaH5cX9SbjUMAlDYhfGUWkAsQh5cf4SJgAwU/9ClN73tZ
Mri6erpuQXAC7rbFAqAd0m6+chG54xuO0nV+Cwo4kG5gm8aK9BgX3caurS5kyeyobJjcPYJTa/kQ
IDbBpR3l1V4ff8nqH77//1kIiSMaZCpcTbaQpdJNVOOxS3mp5HeB+tj0w4aDre0UQxPcYpyFzLd5
eRZNogWS2YzpTp+jQ5misYyOS7/xpawZAUtEBwq6xIWN/NJI3ulqi9pLstMoRaHpJX83ejk+2l35
9c/P/dyQ4FlaVo19AzfhzmdMT0LkNNBG16qDjU1bO/fleULLy1FAYQghVTHTAR0Ftd4ZvFSVT8EW
+Gptvygeauh4E17I6y/3q6s61F1QyADXhWJx92uSUjeONzInEcv36lvnVoRT0duEQccKccHx4Py0
Dvku2vd39ak5ZDfSsXbTffnR+ev6+YhP4v/YxI+XpGnJ2i5XhkRvFiMVmu+affA83sNI/D7fxTvr
80IqS+tz2NVuv0d/m9GriiqzdJO+q4FhbXG/LSd0loy8+R2Co+RqOEPaZye7ROl112/qB5XkJw9G
2rCy8nHI1C2R+DcRlpDkQNwJ1zl8c5B+XK4c9V49GJjjR3ruEIE6laLPUXKQpx/Xd1iEIb2uDMI6
Pma6pboh+mZQOY2SDVHKDmuMt8QHNFsfFo5XzvSIaLv5fN3g22/h/JVEheByXYrC+Cb1IQQtjdKd
m889wxF/aIF3BE9BDdFBjQeuyMrioIKXIPKK+pCmoBjNAKxzuG7hzdkIFoRbtkYcdEiCWvXq9lgM
z0GIRGr03e5/XTez/DUXTieYEbZKngsyY10jNdHjL0Egpy9aG36qxtA8FjprQwkTjLCpBl+u233r
E5eGX6t/Z7e7PqlqX+WpRuvKf+e/j07Kyd7BBDe58k51tydlxBnA16cfxDZcjZybYr+GnjODatzW
XTllMC5AvrJ0sOp71SsP46ncV/doCR0VLz7Bavl1C4X3xhuXlZ4ZXk76zHAWNJGvORimZOWNxadA
e7q+l6tneGZACP2J36On1peFq5dDiEjpaJdPup1aKHwZlvU5ao2mc6Hfq16Q18nsx+vW31wMwvIE
Rw1RQqeZuiyv+aL4L01WuHmycVmLDwYOj89MQ9JC17l9aD1c7mFQtF09wXUH5YN/XA4tuneOscvs
958y970xJazHgMa1jIywoAibMNc7N7aEDEUn+92hj8LxSxgioev96R5q6HZQ1uHuY41irzhIBzTx
4BVzu1j5Vi/qxOMo39eNvRG2xEmH18VpNvUy6kgqtPHCXWeklcHMGE2b/jAALu729m38lYi8Q3nc
i9wXaV/vS3fcowKV306nLYDR20+BdZ6ZF644pbWLOafCCU0N0PSGkGPmWxMjImTqnzXizjAvAFyE
7ejSV9rARPoahR53COPB8nS7sdOn0W/L3oVnsv3ZIu3zLhizQoVxrwcbpCMP3rk5UuZUvOMKPiA9
N+WNS/BtPIdq2VrmgKFqlBH0uPxVdTCWSERxY/jyREGoDBDG+mAF1B2Oie/U/kejULVoCzL09uPU
IA2jVsijENSl2OzkdvIHuK1w5sxE6RPE8k1BIPxCzbfdaC2smFqyQ4UlAul68ywIzCAdjUTRvcx+
GIfK7dWPKqSK1z+UNQeCIHLJJWC1UUVRH9+nRN9IyAPWtjrdWHn+DYHc/vjHRiih6SrYbZsiuZiu
DHWQSxWVNa+oP7X2V1lNNj7DlVVcGBBCjKIYaP1aMwMM0pNvMhq4hbbdMiDc6g0q1bQSHBhOmPvr
86da29gicRRj+cjOlyDWOK00otgN8SKtRqs7LpS1gExR4T1JH6XvJbPKUIohTdb+rcfeVgd/7Qu/
MC7kraOPGGnWYnyRkVo4eqXnFqUC59geg8NWWr7y4WKMno9pLQxYYpIsh4XlJ0hyeWr1wxnzuxbQ
d1Cp+xpNhOt+JyI0XjcVuSq+Qt5YEOIK64Icx4TThWNDAPy233WnzqO/Nn0ab6qjE7jGt27n3Mbf
J54hDDctKP7TFjpj5SumYv37J6iXYSppAjlBwlr3NL/f58WtlKLPVm2wGq1sKdV3COEcmJEIisJt
PoRWhVxlb3hB8SlElQC1JcW6A0/5598Z1VW6/JwcpX3x6IJwnisdkUW38ouPWs/8TDD8WSNyOTJQ
XrBWk58s9UxhKWlpNUam9ATYUHXnTt1LhnxI5s8pAtjXvWMlY8bUcoHQW1e53gRTbT/WtR+Ohme+
sx47a+cfu2NPIiTr++Ze3v0x98E/azszKIQp1Or9YGxg227k7DEYn2enfTad99eXteJwF6sSQpXB
yBGzt8uqkv571Nf3fdXcDPrWcMpKRMQMCSQPXiptYlmszWzNh/vW8NJAd1vbYkz68/WFLD/08iW1
HM9vC8LxqH4zmaY/GETE9mYBX2jH8FQft0Yb1oIEMC5GOAlGCmydwqk0cmjOctogKfBzYVVUfgL+
XNpz3d9+6S7cN9Kx3IffK1gioLdSPmWH4VRuNhDEQcR/nOPsZwjnRpnRNLqU5Uaf4qN6DOld9PfS
CeXog3OIHpwv+U47SXsfUPyudfVHHxr55r59ABbgLoTbfyiS9fp7YO+k1kANHMIvIb+SrKSI2gRG
KCND7LTOY+Q5TX3f6sVW1WQ5SPGgzy0JUdr2fakcLMfwQpuxw0n7YMXhI2S7XtCgKm5V+t/XHett
H5YYc25QiMmFvwg8N76BTE5z6zzGTxnkyj7DM+g9S0dOYJNVedXJ9IVxiwfJkkAKu6mDjwvtZY3m
++p7+DLth2PzMbjL9sU76OCp4Ejez+FL+lA8DY8hSpr/DzqItcBAaQr7PFLftjLMIUUQeNAK15xv
qqK6n6PhXTN9ur63r2XLN4d5ZkXY204nSypH9rY9TF6PEvs+hXjCf/Jf4pTKH1W/D633WX1KXcVb
pi+lr/rz9Z+wfK/iL1guEBjwVRjHRETO3A6pVlgOL015DDWvK/tJc/txCjKXaJ/9ZTbh8GvqFVQ2
LISpN26VtbgILaxKpd1eqYo0iT+VmhGYXmd8gSAfZdqNp/uqARRgHAaWabRqwgY3SjmrhWUVLtLm
IIbtFlRTp/YbheM1ZzE1dAj5hwem2DJIGmBaYZqYXmWnsF0E9yUhnr7RRozfMrMs9qyUoyt9m4QV
ZrLuu1bXbjR87rStKf01h1jAiQ6PDxJBkTWkjnpapwvuLZoL9b4ukqfAV/0n2oqDm5Wt/n00ExS6
JvLu6564kpaBif1tWFhdIyGgPJTgLaUwmk9qnTJGFmiO66hd6slNaG/UrdZ2kx40PTfQaAo16Mvd
jIa+tcdooPHdRCffnLwh63Zx8eP6qtZeCwSQ32aEC1PV5nyGoVTxNF78c/KjKJT9pAJ7trQHx/Z3
Tj2/G0vtIDUQsE4fg7xyr/+CtXVSs+I4EeVBKFMouuRKZbZ9b1FjbL/M9vsMjb6h2LCxViHj7jMt
BF2gPUd17HIzg2rUA0cHyoBgNBLCdGdN1Q0b+VZJyi8mBC0FouhyiLKH0cgP3bhFqbuW/iwUx4w+
0+OGs+XSvjG1aTR0M0VUSFT+SX8W2qN/8bK1zs0Ih2lUkzVos4rPzPGRO/+U9ebh+nGtOQz02IQR
KBMpZojz901fZMBCTMYLbqIHC+K94Oh/QHsGqklnc+Zu3RrlqoWQA7o/sTA0tGmsKuGYu3aHcELo
H5LEHO9kq7mzxuabpCi7ZjRCt2nU4+jEExiCkQ7UaG2Bh5cDEu6h18yJnhA80njQ5QGWdasjOg80
qphO+VzsgriGD+BD3kbemKkbT921nGZ5+hGqnYWv+nX28yySFjmy17FUqmTLzMl7471Gqy/4uGir
GbfaXnqSXq6f6kpwo2lJQsFbHqiNKXwfUq63ZuRXqtdXsAPzMH0HEcrkKr7R3QAzOl23tnqqMIgu
StcOEzqOEEsr4hFFcWKp+W7cgZJ205318HP2ygf1tIXHXivGgGH5bWwJQGebWUVw1c+ar7y2NhZ+
VCjx0FIMd9J+ofn03e4xekzfbaGnljWIHoM4M4IYDiUrphIvzUpDZBWAGFTPUkdXSj4UW7u4bmB5
7aLBh6a1kGnHcUSyLy8103Jy9elJ7TcKEWtvapJcdH0XrAS3hJDnJmFRREGj5CRcc3tkrm14H2UR
T5cgOjWzdAoMyXNy8HralMuHqIoluJps1DHnnKmk0Uq+XPebtY/w/PeIKzbbUNIdvNRGp67xIarL
UlfXftl6vi/bjc7NqjHwO5QyaT3gppfnl1a+NrcBPurUw03p3OaV7NpyfjPE097Pbq6vbO0sQb2A
PAf6slR/Lo21RRzM9piD2LaDdGcHZv9kGGX5ct3K2jXIe+EVZPMKoRbMmHlGhbjnGtKPzpfhOJ6Y
kN1Ffy0EmFssFKsr+m1K9J1okCZnaBbwYFnYd4oBUG0a4q1ZTxEeuDxsWRGzfUDLF7y2cEoMSic2
VRgFNpH2kN+rv/zUTW6dvfkBrvPj7KHOSiVwUy9iJWm5MCtsZMrTUKpaVmfMsXFfTxbqwq1Mu16J
q+eNQ1tzRKCA1NvBP9KkEGKzLDUol0qBSu4APsYP3s07lG9t19lPB/VQPy907hDfoBQZbUKO19YJ
7oNyq0NrkdbwpV/WoeIEdYFt6uXvZ3k+dqr1XQ+rP38G2aC2Ubol1PASEs2k5QApJbd8p8Z/Qflz
z4t/4w205o/LwDsLIaKh4nK5ksl3TK2RRhADSvFop8ldUxa76ye1ullnJgSnCAqZdgtgfOYshvrg
z6F1WwcSxQjI0DcyhDVTJHrwqCtw/NPCulyNnDAQWaFS47VVflQG5plm/QCW+ub6itZc79yM4HrI
f4HBtrk6VTXzTPMgSfBFG75XGQSO4ed/Z0xwgpngWOQ6vjbk0Y5PaqcbnzvT3pdZspuH99eNrWUF
uDSTU5w7NAsiiXk6yc04JCAs2t2imd240W3/ozzEB/2r+tLu4ZEGSElNwZ22sGgruRYNZhsfXIpx
bxBVehVFtNds3hxart7O2vhFrYtn06ZrggiNc/w3C4ViE1oeB3St2E4I63xmOAQEAlz/5a69J3oc
USJ+ZFbh3XTo7pVbeaefgp258U0v3i7kPwA5ZcR0iNEaGPJLF7WzCoCOY/FQHzQUXVQAzQ9xW47N
Tq+tLva6ZI56twJjPO3rlGalqyRBuYHkXvlOCF6Kuci+UPcQL/Gw0sfBHv3creT32WwelQBNg7j9
46+RpvWi022BKmbWRvDcuByz1AL44Cpq5PYKk7vRkz2HGy+vJUJdbihWcBxmTZb2vThl0zl+FJtN
XLglydovfQQvi0E6RLbSVl+mNojvgzppQ2hDKnmLumHloqV8TLuIkQP0AEmILo+T8psaDGNO6+sx
PLY/F/GpeEfbrb0dYtdXEI3Q9uVR+6q9XPfftyeIXdJ3VJlMqALE2lU/2FHrJPTonX4s/55lv37K
o6Z6Il+ibHbd1luXxRa5LlMiVBzBR1yuMZe0qk17W/PMQTqmZvqT2b0I0QHNC+z54CjDB6OVkOGs
1Y1Me8vwEjLOniigAvU8rWlt1pF/27bm+zKMT8qgPeRd/aEO2+MQJpWLGsKG4769FJcFA1aGKcyh
CC98o5EzqVOj0c8cwtE11NM8fr++o6unx/DAohvGK16cEFUCv2uUCejOpFbSIWogoeRFWSb11pzI
mqGlhITEp0WdQMwDc38c06CDzqlNw+6ui7rifWNH/i6p7X7DI0UY7sJYf0YwAmzz8rSiETisOkAw
EmT75EH1ojtek4f2pCqu2VEWl9FMnU7VRgIj3MWvVrmrmIChpUowE3wkrdIgdEIUTcb8MZ8Nt+3/
mssCvtdoZ0Zbt6OwnW+MLT/mzCEZxi6KaYIAJLwp0LqT31UeNPIw/ppfaq/0tjWOVw0yYQConBlP
wvWlQUmX+1HOJJicfLAEjuMO0AQVmbLh8G/MQE9H1wYmCajxSAaXPz9bV2YODbo3Axz5ulm7yFS4
ldl/bcf9dbdffu1ZqF4GWehALi+55XkCRvTSjJzqhVH4kDX0ihY8y04V0XysCu2myhhaThzjTwHu
rxZZEJVcXAPhLmH/QFVFTAO1mVsU9XDiz+edNBTjp+vrEmGib8wIfsHshBzziEQn+F19r3vKjQlH
hXHn30Se/nPeo6fw6NBz+3/wYqydHH0SwjJtXdr7QsYrZRX/rcdyeAMB8fcERKzjNbv6DgCuZ3ja
Rwgrd/9qtb9tCumvMXZVMY3YHG5RIlT3i+S1AWu95Wm3NbJ4MK8/BNQ9h00o4NZqhYyiK5K2h6QD
MqthMg5FgTaR4UuNS/Gufr6+SiGteD1SGhtonuqgf+H5vvRVNWjGJAu1zHUqS589YPb5Q1ikEDi2
VaZLn6da+tm0kD/4QQt75XXjwgX0j3GbfAUBZQbVxSpBOed5UpjM0+nh2Luq5t8OZrA1kiWWPV6t
UCFjqo7cZaneXi4xL5ePRsqormhT/1M1KfNLcgrDS1op95lkkYY2Y7hzUgf6ME1rZxcmp9rttHlL
2WVlvWhS8fqk0APqRkyKGXCSZqYmIYR36h99b9+WobSRS6zEHi4IFgofAzNbYsc0MJhvDatgBMvR
o5uUuUYa30tD6JrF1oN31RT085ZFWZzJb8F1KH0qMvzzZNdh8VWKnW+tkge3fZNC1mo41cbnuPJN
LHxDkJNpTIs59rK3Z7G7yKSlxpuOXl4Pbq3dp8gsyOOGQ64ZUeEBImHhJgIDfGkkiWJNryseI9O0
zHroXxqeLXW49S5Z84NzM0K4jiqnMpWendNKK/9k9jzPSihXbq5/XWIBd3F8Zup+r0YI11ot5/4s
Z6M3Z/Id5Y/PVhvdSaX/VOrmXsv1n2T1h3lWD4EzH0rNujWq6mR38/7679harVB7YUrS1DslGT0D
EtqhDLyp2vrGt0wIzxN5yLtEa3GOUA/cJn+OzZfraxAJV/7ZSwZi8WnylDfl9lLPjDhPqtGbrDoD
ns2rz1Pbsb7vlFh9HKvyJavS+UZqMvs2in3J7X0k0q//iFXv1FSkymDlgf1a8M65CpoWgiHOs3d2
LeUlGu3BVkN2dSvPjAi+6YPmTy0mDL2cWmrb3SVQmfx3yxDcMkkkWFH9Fo4y+1GxnqX4QxxsVO+3
dkpwucjJszDzWYSacG3qcnozJSCVy3arTSCCgf7xi7PtEjyviKcJabqOeHuvuYarHJRdh3YA2sye
FLjmbnkYpw/+B4poLnRwx6B1tyXXxOf5f34FeTuvOerhjvArBrUOnGoYR1SgrEf7aHrKKXoX3UbH
8DtNZ0ZBujvQdhtPErFPKVh1xJdQkqFAIZsD38Tt9Gvaa7t0xzsVBcn30vvqZdEL1rZQqyIm6Y1N
IRG0msKoLAmb+X3VuDWyT6dknx3TR6QrH4uXJnaTI12N6qbYIY39HFcur6St1HDdvf53uwHRCtcE
pKZ6ELHdcx0Z90gLj0epdJxnRZfq4/WPZf1z/G1KuzSlRvasOxP+padQJycvubaFnV1fDGgaoLPO
MrN3aaHgtTeNbc1iUnlvZe9NqYdBZaMSt76M30aWPz+7vUsnrxwrnkZP7pGDmL6oxVb1ZmsZy5+f
WcjKdIgKAwtSEe/lQf7QI9NVNNmP6+exaoYqg0PVlCzrjYBp4gdRBszdg/tzyUN0z+mTxg27aSOR
2zIkxOFEHY1WNYmSptafct1hQiXvPifd8G9C5dLhpVJLhU+c9QZ+5MzSEo0RpXxfNoDdRv9r1Ej/
JuifmREcIJPiQY4SvCxq71ubpxPQiQXZfP10xLr+P+FhKWktcp7KG+6rWS/aspj5MjtKJDul5sm2
hIefmb6bnkav/zXcD49AVb52W3X91fOCBk2GMoOnlCyE4HEaHSvV2UegPjtj5u7klZ/pNxsLXHmv
kWr/nxkREWNrPWJ0A/EvRYoSQZOj8sMuvPFzercMaqan8d10Zz2lgbfNPLq+QvoWgKthBhBLULXa
xI6kFrkb9ErnUlp8QK5C9vo0+HZ9kVuGhAQhXboKc0neOvrflKBzO7nZhdmW4N7a84VivQ4dAKQW
rOcyYMR+FEj1shy/DA5ZqN9UFjNBPjdIrxyuL0hEvCxuubAdMfq1cKoAJxBs2b3ZdSpu2eynfXBX
3UZ769k/cU0e1M/O1iW5sn9wN0CWB/OlyeiFENErO0qldChzN4Tns3NVh9bgroqz/lkZFdnebSxu
zZzO3Bk0vuAkFNHz6yKvw1om2Wq/TKnbvzTMOjneq8BOdCPTms6gY/f3162unJ59ZlT8DozYKeo+
INybUxO4Vpw96HF0ayuRZ6XhRi9rLfnH2JJXkV5Rjl924OxuCX3DTkfJIqpMTjwoOzUIpm+1PzrK
jiMY6ct3lTION53RqcWuVOZeP6jlHE+HMJDCrQx9bb9xWEWBIEiFH15wJqvpnS6W6SBK+r3S8KRC
vbHf+jrWIim4ChB+SzOEJ7fwEdZdo7e1HQP8ZhpWO+QH3jQLeDH4ON6V+9mTd3AO0Tdwvv4hn+Dr
x0KNRMeXFj6g1znds92WdJRTW8BHLhAS7S5OStsLu1z7et2BVjIS1vfbipDDOX4AN4KKom7dpfsw
hnGh3/gwVi3wAAfZTakZTt9Lr4EiYK7tlpHv2ScVkfLipfONccPIWupPPw72JFuGI0sWfTOA7byJ
zGYitOQ32bP6vaIb8TNc6qLDfcGUi/+AVv2G1bfyEwQ0BL6WeSHeHG+4P21lGoumLIEle+VOPeY3
1of63mZmetyFnna3DOUlx+Q+u8kgwpa+zfts1++RED7aG3FgdZMdlUBG9vKWfDDrjZp5k4pjnBNv
kv/uqtOf+wl1tGXSAggq2JHLU7SNIs8d2iFex3veWJBnsnvdwtr3fG5B+NLCMov8IuFLy1vHbSXr
1EjqU64XW5fQEvaFtgQTK79XIlx4Uj740B+EUC0fisk1b7tj4Zk3xjuGOZxjcQgOWwUobSVZwSK4
JUqEimWJFUJ/5vsLy3mi8pO6k/FSTNk+ah6g3/Ri7nQZuqo6pUTZtzdatK+L9BC3xM8yujXaO1Up
T3Wc75u+e2hCbWf3tGtaptD9v+288RrlU2lMd8hmuVn3UkifGBB5Mftf6NvuQv1JqSJ3yp/i9nkO
IXP1P83tz+vH9lbVhm9AA38pA65gEtoUvm8/UC3fmfEM5xTfZM0hOGl3CSTs+gvToc+228quA3t4
eCrfd61r/HXd/JJPiqd5bl2IX5aVy3Wp8wX+L5+xdlww5VsjdWv3LPksldel7ER2cOn+iiYNutRK
vHecDwnXu5K+0zrL7TflMte+gnNDQv6cmuHsZ0WGwrll7ZOefs4RStHre7YWLM5siEkDMHMrrBRO
bFDi0tOU4pOzqa0i0ki8Xl/aAsoC3IOSxuvFenZ9TYPayhOgXC7O+Kn5rN38Q+XeeMn7iC5+4Eo0
yoqb+ERXUD792m6mrh7Z2Q8QjswutMoBZsS0YdT+MmLt1uq6j3npv8uDrcxo7QPXl0SEcUvYY0Tg
uNMMAWTu5LUBn5qvuRrdMjOIvLSOlo6npyVbLaMti0Jum5nTUNfG8iyWO9cM/5b05GQMs2unFVzY
32NzPF33mSX6it/Z+RIXnzo7zrIJOjmMKcAko72TqampFBSn2KXZ4Rr2n5dJyEh+7+fykZwZaxK9
l7pqHkEdx/uqzj5k/tZ8+Vv8AmHrLHMWv2h9bJzCSTmzJHWL7/XT9A5EfINkRPpQ3ulu9pLv4XLu
t5SE175vcG0MZ1NnIGEQ9hHmvTGs0Fv2Ck5LCh6YfHML+cP1w1r7wM+NCPsXBplT+Lz/PQPoXmw/
GFvcoGs1zwWe93/LENIByISGJMPlveCT9GgcpnfFx/YuvRtvnaP2qfakr8nn60ta3TcDGj5qCjpq
JgKYAGUNsGAT+xZm4H67v+vuh1xv2FjdNqgdHQMJIIgxhZusmbouqFMeU0WnHYzwpZ8t7/oqtiwI
t1VREjxG2aZADUdsFx87Xdldt7AW9WjvkgSjWcBooLCGzJTsGVXg0cuQrUhkJpz7l9YedvYmQ8na
iTCH4CxTAYCaxOqvNY2xCkEsJdkpOkmJcxtUyZ3pVy/XF7TWtwYKA5m1ocA5QSJ1GQzixEicJKno
r3YN4Aqz4UldSPEdDQfEsbNC93K1+KRLPcNYTRO/z9vxlzO1W9i/taOj1wQHL00nhdhx+TNUWhx9
BY+4V9rHulUhx/9DypfXG/M8TRRiuoNSsCzJCanMQKpkxN/KbtqgolhbBPBMkISvjBRiScQupECO
VV5JSSh55fiNlvVGbrF2MYGThyyTdJACnRB6+OkICtgtFlDogegcdZ6k+iXV5Z0/aY+lpqIE/8dC
TfyN5zaFYGRNjTMVUc38sJM3boAOnxt3zCFcd8TVvTtb2XJDnl1KZWynSDmzsrk3dkEDeqL5ed3C
2hcFnH1BTaEcSoJ3aSFFTsEM5m7yorFDV+FHoX8mGO6uG1lbxrmR5QDPlpGhyWAHywGlPdo2XeyG
40ZJYc0Fzi0IKayTDmNvtcsydN2N+tKDU8NtQmBR04fRdg6a+fRfLekt0EzpqrbA4P+Qdl27dfNK
94kEqJdbSbt6u8Xlc3IjOE0U1bvEp/8XnfPF2rTO5p8cBEiBgYyGHA6HU9bqInczMv1u9KRFPn74
xPhnoZQ48OnUutdrM3a9NRuPbmwM1N17U5vsTJR0jhXK4q9t2XlXntGgzulkNPKRDUVOEyml7JVl
JXlss9aWNV2v7iYaXBBMoB0MlA3nuzmmGpJwMQ60YxA/du8sRdYdu3ah4BtRE8O9iKK7cKAbo+2j
TMfiDpBQqD+0Cdy20U5GjrqqyEKMcIbbuHJqpsIsq9HDs+olAvL3ZStZ6wPhIIu/NRGOV1JrY5LW
A08RRTu39vPUJ8AdsX1OvAoSCmDZbS6LXD3QC4nCWRuKaWblBKVqetDYyTT5Hm0vy1jNfC3VEo4b
U6qcjTGEoENvo4VN5Bdb9o8bZn5+0O7nkO7ZNdmoMrtYPeXvunnCtez0qI/QGWInsMkyBeWDV2sG
vpdr+xq9cmSjKmtLieZsJHrRmW4hIXtu6EOJjsiCn3GtvKbmV9fej43Eb62Z4EKEJWikOElrv52l
Ln0yFdTKZKjYq28OpIGAY4A8KFAUBAkeOgUGy8RpbTBuQ6tbjmiaBt+q56bYGBzVFJGzlOF7deUW
QgUXYVYN02IbG9W5T/04+Nr01FGJB15zEkvFhLgWQ5uNkgHdKAAgiVcFjYtOX+90f9nSPyqia2gb
xOQ5+jPRlMb3b3Fzof6vRC53EcbodX5U2KFhACbf0TrZkfro7Lkk9Nh5uIs/wkOCVXBKGdADg4lp
7o4keGPH5YzyNovSwKrj+kCTOdo27dDup9FRg6nXiwcrTUCMgGbAW1SHMkn08ZHv0NDxXMQAj4U2
UeSc+eostE+0vNUMUFgF5NRvgN5vkM1wl4UkRMUOY9xJQJ9nxCQ4IIDawZ0bEtAesh/9XoZV+3Gv
30ohwIQGhDgfXT//kM4lXozOD0yVtplfMeW2z5ujqhXBrH368w0HaNobjcDbH+eS7Cpi9kANxu91
ZVfHVfIZfTYswPnK/rxYCK0sAL0bCF2RARP8C3hz2xxEyiwoK+AEYq91AxxpTAa2ufKagRzMLXDu
BaAFinQiMTO6wXKKykchwzNCc1DNfDd73jwc7URNLfAhxc7XJudYsvU8FvnOBLVFd2859YxBIyOK
LRka6tq5QqMA8DhUDOQhf3W+zEWRpW1HWxRKSL5z0/kKM3SHNpaNbsjECJehB6BRb8hgN9SZfWNy
wW9THez85bLNfHTiWF9E6bghoIknvnAMRdUImWqGfhT6BQy4jwWVNh9wb3YeC4KpAw34QPNDSQtI
JucLpipFYYBSTsUscl4H1rbduSHb6d+KG970LyvxrqzbUpqY+Wja0UFNl7FAV/pDM76k6bC1TFle
aiWjc6aUKRxru0kAV54RoHyXAJIKB0eneZijqacMh2Rqrru0qUF9MFiT7xaD+SkyTQVNA5OllWgw
iaeHaGbACAe5SJ2Bcg2818HlnRVB+PE+5l+IvmdOfgZ+AeEL9dqdswJ960H5sztlhwnt1X50bW/6
TX6Dahtqs+6B/FS3ZF82hwaVv0255WAsyVYW+6xvyfuXCNddG9OhjWcLUB0lDTz90DCMnFR/3Pl0
ri6/pBYOv20wAzn04KrLAJI60+up64O6kbQ9raTpz6UIlyp1meYodaYiJEFLxmuKpPVn5wp8XhSc
r3UDC/Cn53LLKXxTXz9OP+QNNStHFjyDBn5hLhcgdny1F4qqhaPMaYN4H43v5aaem/hg1rms80om
hV9rCympYRF7cBPQ87EktrYK4DvSbeSS7umymQq2AQAZZA9tTDYgBcfxh4UYb7Q1TGqaWhyqFjvV
Q75NpzowYSeXxQjqfBAjHIYYgO5aBQS40HUf0H+KFgRZVkWMVn+JwIwtkFExRP9hYIS2SqKPAOEJ
m28pGHYenSuAvzmf7JN9O2W+8ar6+YO8iXdVMfSSAmzOBR6cmEAiNatzj9HGN4eoC/taDbJcmzeX
V0+IYX6phvQoUpcAOQes3bkxJIbaG54TkzAbZpYd6iRzppdyMFgc+zGpRnObzG4m64QQ+5+4WI6V
CNQRtCfjhhIsPY5LtBOMJWbulNY8EFuj21yds1vMr9BQb/v4hPgv2qizWwfuTEM6qDGSQWVxdIiZ
P1xegxVDxcfwFeBTviDpOV8DmhmRmbc9CadC37YkDXovDSqqHS6LWdnPMzHCZUmBW4jDnwNoCNXT
ajq46Am8LGFlMznoCfLDQOQG9q1wFCq9ju25UmkYD2kWjINu+sxQ7xiAISZl/HN1eP8Tz0Ojag9I
pfNVywrEjkYNYWSiGyyfT61SEuoLL2tuJWgiB/MwkB4Rjop4wWgjmBCRTYApQAnMb5tJQ7AIuuuB
3Lh2dCCRdqtO+evlRfxoDYDYAiYbT7Wj30jsc4oMvH57TadhlX+eqQNYuG/FJLnRPm4URqxRmEBm
AO0ySF2er13bOzaIjsA7ldanSbnyitD0tqX6h3l0rB8Xg9wzPDHMQcxMaBj30t2WgjB8Tjyf1Bi8
7lHsvrxeH80aM3SoEeH9g/ZaZMbOdUnbaM4jCl284UgArUBn9a8kAN+RI4oDf0kIy0uDpUrX9fC8
evx5LC3qY+/+fEcwc8hJp/nMOIrl51pMjW6jX1eh4aBo3saY0l1nYA6xwif5mVLKgswVI4M4lHLQ
MsVBaITDM2WZU2JuCMCDBsCIp0dzfFD7f/58Y9AuB9QNzNujHi/cv4ZWl1PjZWlIxjroynKvIQP9
NyIABAE7A/SfWPkaK4QxY52mYUHIQ0OHr0M9/4URAwPoXYZxvjOk72AXbopRklk9qKVd+Q2NP13W
Y3U7PIxmA2sLTZTiWylqq6KnPSwMvfwqENrK8ql3dXZIuoh9vyxq5eoDvgK8GvojgPCFZTvXp8ZU
6qzaOC+WP4TJvkMmdAN+O/BXUpCISOHu1lRbihMsbYw8rXbweg6zU3/MBp+9NYm31/Zdx3Mk6d18
IEdX0iC75hNwlJBA0ExYhi6cWF0ZMSzdQEc1c2ngtuNjoaSPkoVccaLwaihFoPUVabC3yaBFHGvr
TRozC0IAhBWaG3MHeoPNhDRimwHHz/WBs/ylvyr3ErH8El28eblTPRMr2KNNAORHlCwLs0O8b25J
mKK1Ge+SAz1KN+/jBYhaA7jW4CbQ3vthxtV1cxYleZWHHJUInb0oPKBZAk6qDebvzg7d/WlYhxxt
U/dB6azKMlxrxrOUz7dgscTVUFV94tDWL2p6YyENTEh7BUxTSdwids69rSm0ww2FaBf3vGCk7jRp
Tsq3svHQh5hvckxpVWH8BcOM1kbd8mRCu//Z3tl7NULvuOwJsWZJC/Fi2cycYsNONXhjzm86TFOY
13U4AdIzK4vwsvmsrCiCQM6dh4khRDbi6R9RD/NiHQNpdRrG5amKAAgGGK3LUlYUWkr5MEev0xGv
orz129rMNlo0pfukRayB/sUuAKgOfbgsTyy98A2EQM4Ag2gG8YZw19AZLPK92eZh8VLgNIIW8IeZ
f0K2mAVsU2zyh3jLKEiqA4w7Xha94mrOJAsx70iqSDOLCriFlX5U3PKmzZrNZRGre8bfsW9YiR+y
XDOjxCIG8LJsjoLcK4oZ2gUj14ZXyYDcVrV5FyXmntBG0ipNg9o95jW8wDVAKYw5Eim8JPdRgg9D
fwXSJqgBYhBFxBk3SvwoMnDeQOXUhQwzqumG30INymYZuN4AgAbYeudTez1virB+NTcJQFLtINmQ
0A7bMLtxt9mmPbj7/FYPTdef/WzHCeGaa/k7WMwU/zKuxdcKHnd2tGLucnjc9FnFR9AwQkpmZxzz
z8VONgVw7nHxzuaYXYBnRcSBiRnAwZ17vEyhadm39hczagO7zz4VeXooNd0HbpsfxyhbDu7Py9bF
78L3vfggUSy2FcRK3GKyv5D4yh7YqQIfRaoEkZeEmvd8WdS5IYNSGYQbCJ8REhqARTJcwfnktt51
lkK60DXuSXcV6ado+n5ZhLBZH2SIb45RV4uOZgnuKtU+dg6gs0nl+qzM773B8Sk4MCYte0xmdmgU
ddsUEk+kn7u+f+WDugSwaAiwxYRG56bE7FSY9rBtDs7e2jpfo7v06AIxmdu4fsB0Mq7sNzrNe/Q1
8omIwvQpmuANSS1Q2Nn/LPf7p/DDvrg9vcFUTRbDbnMz3c4K3bbU9FN2TZ2TZ0pkiWpjJAfFHrBr
IqREx57YlNWrSat2jgfakMZgboB8nFf6BCBpqj/gGspRwCOyZt9zZ4XTIcjk37TUzyaNhf7pyS/1
CNwWZWM/el417C9b1LoUZLsxzIGkkCMY7dArfZ5m2NDMBbl5lPT+hAhMcosIRcV/dXmXIpx7I4+V
vi+xVxgS3dax3z+xr8Y/1R2BH7TDaW/sS0BegVwWQyvDtY72ffy92ioH2STNykZieAVcqcC/5z32
gtEoOWVl5brIjLVwc8x2h23ST1mAaLcIAET+7fLqii4Be3gmTthDh1hqVBqcZNl1afLVLKa6eChr
3VK/6ySf7R+XxQlZ9rd1hjwkPkDOpONCFdZZSx0ltgrsZvQF9dLXaotQlrr+cJWpPtthUDaoUj/6
CpJp9GP58wkRxU42T/b28l24XG64y48Q4z2MA6P5FOA+obmzj9Z+AO4xC/pDt5MF8Cu2CxQjVIcx
eYkZVTE34syWVsUmatT9kNGXjDB1W/RExn4rhM9viwoxLurzb7LEif2edmiYa/EMh8870crv0ftn
+d7X+gsJBx9JwKCz/a71vWfMnU0/kgeZ0a7r+f4BgtHaVdc35owPcMbuCoORnm8kiUwINw1h1860
5Ka8cDd6b2c6CnNZSO1mx9i14zzN44+ujIEANPnEno+pW91fttf1YiCGyQBKgzQnYoNzoYChixwN
LjXIKOAj5leKal4CnNaKknCkZZCRZtcpdMO0cmc0PxWF+NxFWclXyYec+wU0X/Ca3+JDhIMz63bZ
UoqaH29u4vEZh613FV9h2GANUPndLgkHurEeLws+dxAf5IpFV62uJySyUBYzvX6jdoPfJY0fUVnp
XbbQYuTbEmISlr/plzDQ+MGEN/E1QFRH8Ff67pZu6HUuASxZAWvBoqK6ovIcBUBb9PPdLSutBVSk
gxr5g7ujBwyUVd81H5HCk/qQJP60dzac2KjYDDVIGrNNErb76klm2Ktbu/gKIb7N+5jTTABsLdcA
pt/hneEUgekgMSgjsD4/p//ZzIUk4ZwaNonTaeaSFHW+QXPNvKFVXGwvm4xMinBQM0NNcq92Qa5m
oVibtFcFk41dnIdWvxTx8ODECwbvTXBAnm+c4Q1jP9iVGmjDQ2LP22Z8jhog8ZmPIAOSxAYrJwDw
uijJImEPut03I1r4nUyv+NA2pxgqnKcp0vallX2erVlSgF5ZtTMxwt7kszsoJYqQYDNowpJVfl7L
mJO5s3r3oG+rxoEiQIOH5hYVoCXnq0bitqgRQatBmSB8cUa79dVWHf0hTjD5mSf3tDHygHmgJL1s
ETLBghfNh7mZKOD+AiuZNxncd5vmHSKcOjB0mqKwpwS96z5eFrpyrKAtpqBBgAvXKZL8ZKM6gNnO
htDxnyazghHlZwO0fzYdJeqtSkLcjUQkKD7QcXO+rlbRtNEUQb0EYIWeDqSn9LEylR3KLhJJwlX/
ny0EtjSmTL234ti5KKfCO3ggEDUe8xsM1U0hGsDaXQEeNtQtw/hoh9kzOj9i3/vRPf3Zi+ajdEHR
snVc2tYwoFm9H2ttw+wvFeK1xjZRWHq5vH1rxw6EMJi5B7wah3s+15S4XjJ1XNPJ3tf0eujv0kgS
/J5HFL/UwbYBOQ0zNfinkDtyAV7qDhXv9DH6qdlkGUlShNxDWaOdJ2Y/k0nTjn1tu1lgJyXKQZma
URJc1nPtbCw/Qj/Xc6zqJrErgHPQqO354ZhDryf2IVbMJmCjq29rNqRPg6J6D5clr5ntUrLgRJlF
naiOPFzt2nDtqf2NMdWvWmd8TupCUl5b20xYLSd1APIm+oXOlZyySNXGEmexaZokHPv+IfLIa9zq
+8sqrYURAC56FySESWNJKQYSXFTu0ubJrAv9ztbmr0bvvsQj0H+qzniqjOQqNb0dsnd1SFPa7DMD
FO6A6gD+IgheLn/R6iK/f5AYP1mOQry6wQdFc0CBxkaqTdn3+2IYJKOia4KwuujWMEwXk7fCretp
VQ/IxnEGPpQaUvdTXF3nmhG26qfLCvEzLl4iqCrjrYHpLw6iL2wloF2KxATAggO8flJ+MXVZvnVV
Avrb+eQUYDfFJzD3CMQFsyMy1Syck5tulgEnrq0V6Et+SxDWyqlmTxlnSNCUL46zV4Cd4rgvYyTx
1mtWD+hVdGiryPkjTD5fKuA/1XoJNgc/HiumIX1QdUn+NDSxWoKw2gUv9+fLe7OqFxYM5VLk4T/U
YwuQrNqTi+7z0qaBXgDrA3HERNgxzyXzc2IZk79H4JWRkAH4Eu82EWIJZYzMGmh3QFgP1YATgaIR
81dardspBvJplzVbgZ85lyd4EGpW1OoVdKKbu+STgsmYE6obQYb6mxcUP7MbjffmXVU7KlF0dQ8X
egoOpU6KojNHHKvWoUEc5VhaAJmMu8vqrW4cGstwq6OpE20O55bSzhrJ+rrB4e2SzdBdI1MQFs3P
PyWW+rVrCznCKipzYcVqMkObnH3tvOzFbNj2f1NFWDBOeRS3DoYTinZPtGKjkAqRHvhYVRm38OrW
vCsjNjjkeq0VpMKiNV3tF8Odq8e+VknUWTd0pEvRI2dh4ELM4YDYqRlrB2dqDAZeO0dpCwDRob4t
NsUTkdiBkD7/FZIgO/ZbmnAnl+jYwesPnol3B+jPmh8DtLM8kX32xTlc3qhVN7sQJXgn1NVRczFg
C6S6rp07R1ZKWf//QarDR2AxsSwENpnhYmIhA9hLP/ZB1wYd5mEua7BqAOa7BGGxDG2OnLmAqSXK
XW0BP3auwn78s16GX0dmIURYJgA55navQIjT5zBoc6fWjiQPIVsprufihen0lZLkJkSo5iNFmGnK
Cn6r7mWhA//5QgDwe1lu1diKTMGrfL7CdvmD4/rtLAlC3gq9H6IDsHOisU0FKLc4JJmj10hJBpyW
et5UJwpOABReJtwMLaDRQvtW3ypNwNOt5Z2+xwti3suyKes3xeITBGXJlFUobsJj6/fjT3I39EH2
HWn8kDNWDEglvTRX45YUoTzdu7rMaCKC9hbPbwsWH8VK26c1JEfAstBIcQ9/DzfenSIZktL6OvMT
ysddgeoteFnTQOG7LuEnyMExN4ygcIu01XV1pd+W32x09mxM3Tf3WdD73gP9f7Cer9rs+weILQZ1
x2ZE4fgANzKrsJ1dcD/OMiSs/6Lme0AjBJsAm0+cBATLAXGc1vBdJZqPUwL6wNAAATdAX1JHR9tP
PJl3SZsMeUCBx2f646A1sz8bc5wFUekNN+XUW01ASGE8AKIYJhinZZztSVx1e5rYZLiOSdGXPo2R
gZFEgasrBawrPjcM2xDzR24FZFK9BrCc0bJDrqWntmi3lx3h6iXF6bzRU41ZvQ8NND1LanTj4oCP
R3cHdtgjsHesTXRrb9HafyODmuLRiHjIF9LE+kmqW6UZebBzNk5bZf7hWPc8K8y52PVC8qJb8/Gc
SQu9cui8B/PRuetqzKj2jNwAqJZX31mJ4qN18rqyZahu/Lx8UAlRswU4TvTB24KYBG3lbTHwBRwx
stkz89SSoffdytrPI+iuU/cp69A8Y+a9pHK7Zh5ozv0tWXD+ZlwTQ0c6EcfH8yknXvpzVAAdbfZo
kuQ9ZEgbCUGfU7RRB5I5vArQGUcj0PbJ+sRWw5alCMEdWV6n5cxzELbcYrz2UITDV+/J2SFE+vFn
NbVfEdJClC20GrVt6+mxhZ1y5mSHab1rRSkkV/5qFmEpQ3A76FCYcmLB6MZAe9G21ontSRif2HEO
9bB+SLZWePkAr1r5+xaJuFkTc/A5CYwgM9OdO2rHTMMjPoslId+6GBOVDsBq4AUn2BrR+xitGRMe
pJoZ0tgNdJh0Qunmsjar/sF6FyPcwFWGbNs0q3gCpOQWnSgb0mE6sLSOsQ1UP0UKZMi348PhXcgT
Xk+jC3Y9hjIA8Az652qb79guvgMwzUbeKrh6WheihLNUl0kxpB6sj1mfaA96P/rt8tqJw0Zv8Sb6
j37vkXCUutxipVm9PXS9ff08PWYP1d70Xd/ZuLftHR+Ml7Xr/heZDprrwSHqIHI5d7LtqNkzZTC/
McAwYca7v0L7UG3iRy1o/CaYfeDmy570a9ES2jnwgINT4oPA50LN3mEk1rFrntVFgFAbDmOOGm7u
4v5WXi+v6uq2AQIcIMiYOcIr+1xW1ShzmzSwSMc+GNaT7bSSS341Mc9Bxv8jQXyM2j2YYliJGN7c
DacKPXUp84sQUxFgpVJ29AYscAHQLf16+zfABnDwC9mCu8rmzpk9Cym5vnrOxjsXTXn618sLuO4S
FzIEExlmj5GxgX7Rddz6IDl+ROPqWzNgHvnkKrr6f4DKclf+4VwvZAoWMuNFgwANMvWdeUSa+tn6
luxBbovad7xrQ+NoYcB264BhLPpa7GQPiVVnuZDObWrxaKpBZJGlFHFbnRwmDGUmcRW0wGi8vLAr
BBbYPDBMor0bZGZo3zoXE7nIi9MKSrYbcsdB3NVncmBbFrKD5tOtC2AWFhQ3zlN0q5pBs4ulQ7yr
h4PTxwCWFSxiYlmw1QFmjTwQtjaP/ZQ+R+3jZR1XT/pCgOA057Sdm5oiUcO60feUJtQx+G6jwK1h
qu+yqLWrByMcqG2iYmRbIgwQhhnbDu4Zmd26eaoLdoUhVwRt7VMUDapf5JEkVFgzkqU84ViA1g+E
HAOeQaZWhXb5qM+YUSskr+q19VsKEc5BM1IX2I/wXpiV8xtmhWOUBTXg/2xbku1cMwV0BqP5DKUa
JPiFncK0UlZUmoY4JC4fmWv8o5WOJDiQiRBc8Ri5NdMIrI3gaEWd5SfW/rINrO/Jv0qgUnp+oryM
9nrjwtzq2jgVWvujqJONTjTZXPBlTXQRz7tWdMzMAnM4UCdjMxD3qKqJZD9W3S76xwBoxcdcMBxx
rotTawMY3LD1lp8dlNI39vGPAdNC7WE+NEEBjAUZoOrq6oF3k9OzYh74Lb2ycHslqVvgGfZIqhl6
WBi3VvHTQcT4F1u0ECLYWVlZjAIqBwFH7U2BO9YPWkxpYLf298uCVvdoIUiwNgtZezLFwI7vW+/g
uNHJLCWlzdXgCaWkfxfsLYexWLA8YW2UuYhjrIf0Zrypd9EBFXKX+MYOqL5XYJgOrQPm+S8rJtkm
8dpotIw2SYJrg0xFgBnMsBpAHMcOl6WsK4f5W5TgMcpviyPFutmodFLhELotb5ZkobNPjiS0bowd
b5l0t/mt9RcPYmchUjB5BSORdatDs5E0/sweyygPL2u1ahQLCYI/ZZ1KMmbAaU/IL+EiopsuUp7+
Nxn8GxZWAcbOiTQ2LiJzZui9BLRufn9ZwuqtsNCCW8hCQuzqtC48dMjFjQMlrrTW3ZgWWnoAnHlZ
0qqtYTYWnRKwgw+Tdo2mFmnHAR+JZftM+2YOwAswZFf3uhQgTeHWRg1bDEPyLu56xsHh0QAVFBgX
qsfGT1E5/xtl3sUIrkdFm+GQ8HoOyFz9LPnq5uomkZZH1zfnXYrgdzDrAMgcnqVwr51bZChft5g+
OHqB88XtffDFWoG6H6jEriVCxZxsr1hoS+3hulPg3BZU3bUUw//5MbWn/20RxSYA5JqKuVchSdHQ
aWQ9D33u99XL5Z1aP6a/11CcUkqsEcgXCo6pHr9UBgAnE0nL3QoQInKKaCpG3A0kW8B4nR+hlhSe
2ThA77GzsDkUW7JNhj1Pn+/yLQxPAWa05CitbtFCouDcIq90SurCLXg52IrR36B1PxSj2A+KjALz
bZRQfD1hkAA8GGCYxSyM4B/6XsN7zUEiIX6tDuWGAwANW/M4hTXzxycOlKYdhys7NB+s3QzAPWSK
N8bRAFBiDOOsv17ezNXTvfgavjALb2XBVyW0oLiItV3suRhI/2bXstrzavS/ECIkgsys6JQkwn4O
FUZHdaNq/ZyOIwYP1W9Vb92oySSx0VW1AG6jA7UH1S4x1rS1ZrRL/iwmCtDS0tfBGPzYkfVProeB
CzGCoY6Wm3dofsBtco+X8KbdReFwtG7q0Pa9Y7517pjkEhYGYn6lWVFe+a2YYKh1YSmzzSU2oX10
MKrBvs0/rRcWIjdEfCDf9z74zOgzeokr33iaNmWYgDCk2MlODPeUH8wYrEaYW1Mx5CBG2c04z/Hb
+3g+DmCRia85g6a6l1be1+QA9Q5srnj7AMtCsJ3OydW+bxHNtxslC9xjdwteLjBXAdGqu+KdLVoQ
G+G0QY84MAV7mZprjmEpXriWtDofnTFByrmqk12tjT8Homwzt2l99GtLvPeaY13KEi6ngRmsTyfU
bxwGbP98CHoZysG6NpalouSFvlhxzAcA8sUI/hW47kT3C+e7k90XmD1xlUTiT9dVAWQf4OfAeSQi
N5TJaCYJxfsoyiLMZL1UMtSe1QiYl7P/lcC/YOm4mth2ct7GAK75xxR3QxYk+2wbhQ6AJnVnP58y
0LjKRhPW/MpSquC8o8LJx3HAo8KmBqcez05dC9TDqFW2l/3yutm/qyf6ZbeM9anELWHuOJuXsjF2
7UGXHq91g3gXI5wut6k1bQDfeuA0GzQNFpnnAznEn13Z83XtClgunHiOwM80lKZX+GrLvpscYTE1
rZ80azijPQu9qnH/RxMUTlNEqeXMPGfiJFGQpIhTXEkWQKKTmFsuc7vSegIjN5inB0qlgDGBnQrb
O3RRQnxH0f8iqwVcRwNDf3zL3i6Hhc0Xps2GbIQvBHHNd5Lmh5kA7SKXDeKtGoWGsSoT2X/MVwhH
a0yaCeyVMAoFd0hte3tLH7ezgYiylQHuaHzfxWsECZTfsoQD1SiKnTOHy9rbu3ifXI3P6RUSrGF6
He2BX/iafZpP9p5sTNmDY9VFYcAI5T0U6AH8cO5AagIE3aZACsUuEnIEPbQxPSIhKkWbXw0SOBTK
v4IE059VEiEYwVFuN+Wr96Jv2N4Lxq39jXyyEN3FoWz/Vp3UQqBg+cTtazIrSOPNahECqj8cva9F
JUl+rgoBmZauO0AIwX1yvnyJo/dmbMMTuqP5NaXJvnT7JJgMGYvi6jZhNB6AZha6Wi1hm9pWUQvN
wiGbJ+anKWCf5t1lV7sqAai6wMhAdQ9NuueaABQnZpPXFX6uA5RTMbxrx5ZBpq2uFhqvgFGDUAm4
MecyhhEd8F2Kk6vQ09ggRnMH38s/XVZk1dJQrgCJG7JemIwSLo04o8CPRy8O6MU55qiO9t/hH4aM
UPyZs5rzp4ZE4ppeS4nC7hRlPMxTDMAi43bqd3qgbzSU5DH5eExO7q37Yjw30und1a6GpVDhQNEu
72g3xpi51AD+qDN79k1tJmFZGvvWiLQNEuhHpayoD5SvQzlPPwq9+QtXDGwaPE7hu/QPPWUZqxy1
aJHAjGwlSm7rTo9SP0kT7O3cAiRkK1loHtcLfhKEU+hHeWOY+TBG0DWDx9oZsMHFqTsZIdtXe+3I
q8CASdjJ+kZWTsSZMMGOlFyzWjxewSA8JVfIPt11XS45dCt+/0yEYDgKwCsHBm7uoCinPaBhCj3x
o+GkmFFQ2I8kmTaXF5D/fx/WD8jLwNA2cM7FOVZvqOvSaDoWDEzfd+aQhSorv3ipfaW3rPbjXvlz
/4jZZExKoYVIxa4JJ95kHnAYCGiLWc9jqgptWAB1+Yt3LqRguA0DJrBD8Z1bWgjnc5ZDipGbG60A
4LMD3p+p6nLJAopYQrwBAvAA6J+00PYFfyzcKkqf6hrOFOCxT1ofmD8BQBNEYbSdX7SgDNkxvet2
eIBJ3kQrDgZSMdgCzEfAEhiCc3ZnrZpLBqmWSbdJtU30Cgi83y8bh0yIsFcejew2jbCKRWK4vh1H
N9WYPWZ5LFnDlcAKyrhYQNTwMO8jGH2H9tASjfGY+y/BuBzTI9oOb92abi29l8SmMlGCj9RLj9RE
g/kl7k3ZFWDEuxvQX9ZaMtopmSDBLKy66asxBmJL3aSbwpz9WGXb3N3XxAsv79KaV1JBrwBcc0AB
4vfzO1TNmthSG7iMpGuCvkNBN5U0fK85iaUE7oQX8XVaKV6ft7CDasCSVejtGP16crobqx3Hb0rP
rF3qAJTjsl6rK7jQyziXmniFnqNqhGbaoT8yBwlp1dw02kunyWKpVUkYugVFHc6S5wh2nqGcoqk5
gPQH7WS5nym5SqxP7iSbhl3dKAxlYHIYxFcg8jxXKOupxRQPg+bF9FCOj4YMqH8tzgHq128BIjaT
ErMEpwjI493WvbcG8MlgWFQJsp99aATWs74H96+s7WTtwsJLAYyCfJQYg8vnStXj4DIDnIUB0ZWA
RbtR2UXmfaQ+u4kaVOTHZZvgOyFeV5ijR8crx6NDge9cWg4UGmKNOL7z0Gw7091GYBQBZrPE9FZ3
aiFG8BID3uFRS/kl5enJxp4z91BHerG7rIxMimAPNUZBknkEM4idEl8d8OL6iz4ytE4CKBZJdaA3
iemmSS8NMzXMAj0eVu+jlfzzqJp/c6EvZHAtF86hteqiL2bU+pXUAs6JjSxJit8aqkgq16vLtRAk
nNKO88NZFZSp57i6nepa3xejXhwub8qaPYOTHiCtwFVGOlmwMK9nrY0WewTR+eznWY0gJSfgZ00A
eJpX927uKZhFUSSmsGbXS6mCwXltOanFiJNrdl9VD10gnxM0i13WbG39lqGy4E+j3CI0SSp4h7QK
hgKN4jJgAZkEwRQsEKyBXRTBuDq+ptqVMUoKYKurtAhWhXuo1ZlJwXqCmNEejcCMo9uyx8yOPTWP
l5dqrT0S0OoAY0Bkh8hELBhOY2MViTtgrcJx4/jdEMDPlAFc6t69BT8F4jpwwm/nzvdC7yBLrq/N
R1hAm+c4KoA+00S8Zbuo0mgyQFSSPptHZ8uAEhvtnR0nxpC3Y67cfhCGIWwOcAWaeMEuysnUK7cH
g443TSiOonyiZlcNgD4nIgNH5odHcN9nogQD8fRpHKsUoUqFtLSD7rqmdP3SeKCOclWkf4GEAmnA
o3Vx36IdRDAXsCsozG6ABdTmP6p+X+rE1yuJu1gxyTMZwuJRVXVIm+HgumhGtGLg9NX5gTZfLtvj
ysE6kyKsW5srMdJy2KLaMg60Z36jWMFlEetW8L5Ygnd1e8domloBaEQy0iB1hi0YzYHKhab+nkay
54tMGv/54tIwsiRNTQcRfzl/0SwQbZuqr2s3TedKnN66xb2rJbjzgeF2Qp0Or7O5+zJ49x6yHzo5
6hUQc+u/GIu2wHEDiA4wGKGuK0TifcRUYvUI8CIv3+rNK+h/dhb74qpdeHmz1h0EoIctjgQFrnYh
dJh7qy3MDshI3Yvx0h20PUDg781vRpCjrCnLZq1a37swsWOM2XoB0iQQGeVJ9rNQajzd+8fLCq3c
uhhj+q2P2B5WVmOi6xQiwNUZInI8Ddo/k2KcUjvzXQbazr8g6UGwqiPWB5cIgAGEBczoOE2DWgOM
hqnUt6OcvuiDal0Rz+wlr6fV5XM5YDPIwwB1ILgIZaKRNSowQcBGIwb7x7Yl16JMAP/54jDZo5VV
ph0XvpZYgeGQxLeMXsbCyRfkg+teaCH4B80BZXTVAnvM3E2n98LbX4xL8YfY78USHMNE2rFs+c2n
JP9H2pUtt61j2y9iFefhFZwkWbYjx3HsvLBOnITzPPPr74JOd5uCeIX26Yc8uSpLADc2NvawVmUn
8AoGb6jo3Jh1tRJkbUBESMM8dsAx0goZ8vQQgZo8PPHUJ4wePgqP02s8OaATdnJf/No7xkF1Zi/w
0O1J0F/ymud2aCOnaPPeT1sFWzpsSXNH4KMGScnl18ObTU4zK6FCTslzpNr5k25Xj9HX7tA7aJMs
HOkf5Yrho5CCU3ErIr5Alv8SNZvmGR3JM+6sxwaN++lhwNDO32POvE96nSG7xGL7vKYGd7BsAqt1
q33yK7wDtev8A7RTdmyLnglGZiT9pZ3In62+mshgkJm9XZIqSasF/KjzIdwV3rCTfAy3IOXPW+PV
EaRAoB/QUbBDa63OnA55UA0tsIqI5HH9VCtEHRpOh8u1yweEDvOAeokuYTSScSNgwO4Gcyoj7KLk
BfG9kNvpQXAbV/a6+FXmSzHQzbk4Jwwg41bUSc/AWnwGDPxMcXp/2A325Cal24Hf/vYFcF28QP0H
8S5lrsRMK+LQS4OESmxb1aPxqvrpk7LT9yAy9FRP3vHnR648GYPEuBhdKyFO1RuvOSaqiya8V1qZ
yM2zAiXhRJq9pJMdI+ZqBtDff7Gbl6ishFRkgblQ77IOn29059gGB5nU2jmeFPSYtxWBr5sjEnNl
ZK8iIAaYWW6pomEwbwDcjSJ42JI4Qot3NehfBjkXHtuose6rQhi829+TWS5EnZCIwgVroJtPx4wO
c/JCUTdHaJTIRK/Hh1SoUxvqFzO0kAxemvDcV7naWaofZUAExcJIMtV2EhnLiUdFKWuEXjjkul/t
VVvZ5fAs+OcWXvGl8NKT9VAelp15VE4mCUhzmj0qQSHfFd/kh9CJBcwpfdIjXP0qZtshmZLpcSyK
RAx1e5FPdSVxQlvG51AE5N3QhmAiT4EpSGaLrdQE6RuanYmYaD+l/Fc58LSlrhFAZoeGVgN5ENCg
seToS4JsvZktC5GUl16q0LnNy7wycR/WgDERqMugE1FH8encBrEKXWpjqk01h7AaSsRfpr71krBH
ckLBI9QUXqZouGtreeI8da5dKT0SoM7HzYc2KZM9i2IojFMzpzgSeN0HByoeEPvZnXaoDqFXfr99
ErY92wqNsQQDzyhkdoAWHRdP86Sd+ZzuFZs+5T+fOGBWxjx3grGtq3oCFqXdDc27ypt28XH20sAP
X2NIC99eG/3pq6OHMjE2EmEEaKB0xBIWcycVaYyTbxivc41VCQ+DaLjBGDmmzmuTYizxCoi5i6p4
kOqhtV7VOiZl/9wgwfi/rYRxIl2HjI8Ymq+Qj7F140vS/ZGqL0by639DYUxB0+qpSBbjtYD26gjN
u7gTnE5O7FnhPAkY93u5X+imZoCsfh6bEE24pJZOlt6RngpS8Xz8za8PEMbYmqk29FwCyGKNdqr0
UIV77A3JDuD2b+/bdQi5NjRAMfnRpcWdbcqAmrz+BSLMoIVAW68KdYTRGR4M007fUBUCrQyapznn
l7eVTKQ8QSxGGAdAZ9L3Ba08ZfpV44kTXj8C6PpQEUcJSkEQqTAHSUOzZNlE4PTDsZVB2tWrqNug
soHbSnFzJ/0auFxfsRkHrTCZMyVgBjubUvM1OaqHyM68lgx7CdoqrZ/7sT240V2975+X+5Abkmye
5g/kK4U8UwmmTsGWjpCOSdHzuIwnjsHIW55pBcEYzBiOmTSIFAI7SmnQlp/6l9rpj6U338m8njn2
RtEhW4i7GF8Q7VIWutGZ8xZlSS2MWfCaHUeqSUMH6R+sH4jMUfrnXSj0WK2c7hUWc+zKQCuiUgxe
qwgMvkPmT83TWEmO3Hgjj0yMrSheYTHbSBVm6zIPXsVD+1CeYnfsnOrP6CCGssdd6RV+Pzu3vxzj
VK4QmeMm9llnDHLwqsd7MOc0wf2kv4kIjG+jMIeaQQGPBPZ4FXeEfay0QYE9DNFnG6CkfWeZnLQP
c7yuIJjwrG2D0Bq04DXZI8LwU1/xox3/lba1ENTIFSh/og1FZ0vXVtRPVTkJrwJtjbdeepBw6+LT
5zdrjcEYN8bFFWRRhVe5Mexm9LMKtBBSzQnKtheCGgRlTzLAuXv5RcAlvzSjGL4txtwOnjJZwdOY
WkJxGIw5/1zJElEnsn4asn+iTuc02I4JkEomVW3GIwmKP3H6bnSo7cjfbm/alR2DngCJRXAUoIcW
NSvmlGLL+jzXaRG+NncC1CyqqCRG+7MPRc6JYS8Puhwg4M43daSf4YIut05UBdBCz8oAXxeczMO0
jw/D925XgYAlIDJp7hOo0e5uL+/qc11isjmduTHqMjhjLjtpHO18eegtXtR3TvteuDqKgkYu1K6h
pwqlq8uVhU0EyrOkGAl6q1Bgfpf/ytFIWd6n9/ov48dROfTH+Tjvh2/y98wfyRhy3MTVGT7jIysH
bV1IoqiM+6tDhXJUUfx9vNPuul26T3Z84UT637DLxDMZuSNcIDQZeLnMAhN10phbULusivi+tPru
Leti7X6RdPMu7rrURVBvnUy1sTinbgtZR+GZUojR5Atz6oSyCNQmiEbUt5e7IEPvWho8yRB/smMr
O6lF79SVwuMQOaeqLtaL2xIvR+g+YXYWm8sYrNQrQtFG0im4l7x8V+OpjrSIkzzJRCSf5kA6O2Lk
+cGEhxcKpKaYkxi2c5WWsfWqNwFZ0u/lwiPTOf/eq/VgCIuqFmMSmM0oCzJEckSsp3ZNX3bbvzT0
+hoPvV/eW08g1fEGAg6Ee8nXMEfbfZv8/DH3oDD4FnuJz896Xh1NEYNFyKCB/QKRMvoTL60pjFVh
aBAfRJDBW05FGRPpkzPvdEsvIJjQMekrvRiX4NUcnAUUM6bwdtu7XJmlAuZBTYOsFNwZsgOMgTTW
EI1h0uskXgJvjHdF/Zq0E6nk6kh1LmUeD/v5C118wTOgSSXNMXSBNsTLPdODVq2WstVJb5cZWTzR
rg/tt5/mTHuo8P3kx+EPpO2zFzo4mJ3ObKB30cg5jWzbAeoRdN0fP4NGtauwpDVA/liP+Bljgci1
B1N11nmJ0BOoL5NJU9BVLZ8KWd8v4+BbreVJUU4iBZIYk+haiWwH9WmojpHye1pEzpPyOhakP05H
55Wo6IqGe/Pyx8kYZCjivNOJeh9mRIzs/MHyzISoFRklZ7Exh+VkKeHx/l5dpAwsY86t3CvBGMMW
pim1TWEiwzDZcYCEGm8EedPqVgtkrDqXkmYIVSwwFu+7uEe3nE5yKyBJOzuqjvLayDHzjaVZtOeC
hgegUtIYvx8W1hKitdIglvKUq6EjqY9SNDjzwus8vHoyoNkQ/z9I1qFBg5IPs4emnEm5WIUGivuL
+JQarUEqQfKbJRkwCwB0ZVY/161FTRm9Ikjq0Y5KZIGYEyV2ZiWko6mTsvXkqX2plvbls04CBWNI
eYNFCI73qkkG9ZYQ6pg5vlESFnaRaLt+CN5KfTm0+vBtlM1doU/+bUxqApd+Api0yoOMF25LlphN
geyTuowZzoCAx1dWgcOZg3D9qS4Q2OG5qEyatoywqqCeXzJT9atQftQ0iGHL4aGa9D+3F3R1WSga
lS2AxztfxGyYanQwGr2uNZJU5j2oRQaCRhYH0T6P/Xxj59DYjQZlC9EGZnHouleuLSu0Ado5lUak
QHwr1XTfxwFn63gQ9HyvIFId1x6eqxqB/xqJ0oPWTlp+f36/sABUGnBXmGiausTI0A2fVXKmEXMa
Eq8W5ePUlT0ZTW6LDMu0dg7rEU/A5+oQmoalX0KpwqwIooAXxOz3ruahfAlxzNYGVW78g9L0nccL
3P4oHLqTuEvuwWmBLnbn9nqvYzWEwGD4x5wZHmYQ6mAWHMllDxkufSD6/eLRMaaB4BXoUhHvHFRB
3KwUU7L9e9UrPOYj5qOS5qkOPI3M9oCnTOjnuFgqn5e7ZnOKZyS0zEMCCSVH9coilRAVmqzH/kJg
1i8XsEimbv6t9USLQExN842D6Y131XvOGyOiH+7CiWBL18DMEvupXaagBrDZQL8H4/KRaZC5eEaa
nRNQXJ1uioQrBt4KBZYrerlQazXsZjgSSv31Iwya6qFUrNAOTCvacwyFOvSrVWHcBg6f9hWwDr+d
lVbq82wkU94Ej5Ol5SPBram+zHKMu7M2hv0kQctKB8+Hk81hc09nhOwFnbW8n3LlCLBs+DQdjwyq
R8+O86MFplzqEe97EyM/75Ojeb0fHgw3mfFZwy/JLjqUO87yOZgsyXShprmkSsCkSggQs9WRcwzA
SQo9QNmjXVloE/2sv6PLXD3e6E9a+btO16I86gCpJr03gcSrnnkRKQ202Y+6hqAGtoaYGtmsa7wP
1UATQdNe70MZCpbCJBwSEewoRhV+h+wUxKYn3vmkjuUWNOP+rCZL+yIENPSASab9HgKVNOkT1IlI
nQv/xM0hGaRhEE7C4WTZXdu6E6RYgXnSfPHi5C4l4Kf1BcvPXGGvf25M8ux71nDMp5v7PGpbHZ9O
GWtPzQ27FX6YwyeVia5QmK9X5KLVVgkWNYXpXTosvyNT4D1+r58FZyv82DnmO4FhfBk6DSCDV+zj
JxWq1VJga64Ipi8baWI87Xc8PYHNw7b6WsylVFvC0C+gyiFL9iNVnuL2O+c004D42vg+FsW4aCWe
81RpANB5o6t46IW+i+8NVyX1PveKb7yhSO4m0nO4Ome11eORYcAeGsc8TY7ihG53V93VTom7D4TG
O4nXTsTZQoPJgAelaU0J1RbUSJ1Bl0+144MG7hiSEclun+U7AeKht3d16zbC6aIDViCsQYbicpHg
TkiMosIiOw2s4fOz3MT+kHNANq91HcT7GCfEUBKaQi5RkkEw8qUwBtJ42lfzhI4iu7ahtenqPcGT
EQ2MHlhpnent9uI2A6U1LvPGktK5LAVITPzLg9AakOkAlVAPEno8k9nczNUyGQ9SLarYBTngVNFP
kxDkX99F8Z2zpk0jWYEwDkSeS+R5K4AUx6m3FU/ZmU5hIACk4R/8MCZDuTzGLPXF315rBco4lH4q
ZwgxARQyPFA3V225JhYaNdHNU/rmvnENX7R8KhWR3Y+82Gwzmb7+jIxrMdTUgoQi0EfMkD8EmL44
V/PAM5PVdr3XYTyWw3v0cVGZozEGNXpS6EbPJ6TUnNEXQWAOMWx0qf9RDpBTgvLMJ2Ux/rXPEDjE
MLYGsQXG56SD2I9VjuAwjTLBRvDiLmXggvfoRzRDCbTKwNVy2562bfY/iGwjedVA/8TqhYFIgi7t
h0o17qBjgeBCrYrn21DblvsBxaQfmlGYA7Ohka96V6alHegSJ7beRMBUBhLLaCNHJv7Sz4RjME5L
HAwQYVFjt2y7xg3bRHJvr2MzAFuhMB+pQW1JTTugZCMeW4IfdRHR9fcGWdfUiBB2PU4Zb/px8zN9
YLJXQ4E+0wAddQMpzcRudIhTBt+znDcLtLl/Osg40PiPBzVb20m0KhVrVK6o7o0n9XjHTtW325vH
g2A8ib40Q9UugEgn42FKzAPKlpw01/bNvVoG4y9qMcyitgdGdmy88EE/0ISx/gtlWMQK4rHxTY5F
/D+IyMFj18BYptLPt4oVhrjOihRKsOgkbfbit2VX2rEfHnXS7ptT6lhOzyuDcSGZjcRMZDU16RkS
l4ADLhOP+qbOTZ4SMG0E7vx0+8ttO0T0NP57kcy2ijJtuSnP2yq9yohJctvCHJyOwTvIWGBQBCMi
fsXf3E3bX+Eyp3qQ4JWaHLj1HxnMhYWHvlLL7cHa3+4VjN/R/eWJ+WxgmirKt3jK0RZyhTnj1RhZ
TdxKMxGt5NBn86HK1J2pCK+393TjNIBwDkMP8PW0X5axm2SJlyk2K5Q0jFySXdWqlgpaVOFsfY5j
gV4skMiAohpGGNHYyebIllzPJ0NOMT6bd131JViSVvSFbiq1+1kIk/BdivNY57jjjU1EzgHzkrKE
Gg4yzpenIg/bKQujbiZV3TpLCxkQUUUep/Zub+ImDHpGQf8Fghf0xF7CBOkCsTSkZkmmtIWdJVPv
qTMYzgxL/iQ76HkbJSS2URBC0Ay4SyiqmWsgRwWziOrUbUoh3fVxObjtgqb1XEsaL02SgtO1srk+
aoVQXUfnAlsI64o2QViJ0Wd9MO8CtbtXw58NaANu7yL96czzyjrb+r9QmBhda9TIstICOi1DLpGx
Uw+QrngPNBOkhXJuEG2AOpxqxhiHbmr/NjZvhUycXqmiYIp0W/UpOTRpYUuTQMyaUy3bOmx0WAP5
W0ySi1fmiG4wqdVw2IzeF4XEDYp/8LjHtJCpgUIHnfZ4Ul2aB+b602yZgFAhDkgQsBkzbyZ0a6sw
kwc2JxRZaDH5EgIieVKVyPhMeh6Tztolemsbw9vnv8cahLEFOZ2yThJgcbHcQ5/o1KknTf1+G4Pe
T6y90QoHWPssTJexzH2iXPeFUYGhZMxAsZs10N0DidNQk/ofOQjUVHBwkS4HIN3T1e1cSDKkdUaY
VyG/JCMKRcbPCMMXt9ezZV1rEOY+nqq+aYsJIGr7NCLDMqqScxth69PjKkKVF/JDKMIzp0Qw9Vrr
VCCA8tLpwOelJflemjnR0+Y6LFWhI1Mq+msYA5MytR1ESvedLcVd0Ex+3Hy6rwyXEVRqTLRn4pyg
xeXye3RL2CRiY04EbvZRmDuRdDP1piavDet6x8DCBxBDUzQQn7FAWZd20UB3TO+ar0IRnOKoeAir
8utnPwxgaFof/ARwoWca7ZV9dSmEDCUTxyUT82/jiI4dU/esOft0gvIShtm2QQm0DMUu3OEoF3Tz
UpDe7E9TX3FwaDx1eTIpDh17xPwjbICxs0isB12sgJNozZMUz3+Vk/4sWuFdoQfot5CanaE2nDvu
2uouMenfV1s4h9EAIjB8qSiVJJIFgYaB2Xj/D76TDrumNA6USOQSZNK7uc8yBApFhj7dMe4eGml6
UpWaZ+Cbq8FoMWqr0FxR2JumWJQSiWs46biBDkFiIUGjubfXsglhgQqDzjbSBN7lWqoYZ7RfUD0J
DH147EwjOKKlIOKEVhsZNMQ8NDDFiTWvfc7Spt0gTMqIhw34hDQvhgABNFPf+yOSTdCR49UaN5YF
PHgfhIuo6LIBcQ5Sva4LZeQIpoKkWumh+86+vXMb2Ui6pg8MxlObYdhaRQUMBWWh7ig5GF6I3cDB
7JE7ZUSxpweou3q8J8X1hUdh0VmCOwj1G1ZDczC6cshUdSTF8iWDf03m3hOr53y2OGdpw+tBYxxM
j5hEQ3cdGy8aSoTJpgXfLJox3FR/DSvk/hODs42bX2qFwsQIUEgulBHXKpH77qiCWCqQIuf2l9pc
iIoFICRFfwc7gZFIeR8XegjtZ6t3NAEjEJLshUhL3IY5l0EZh4ehtw8cutSV8wHNHbSeQuimzrVV
oOVTDJc6sOUoV4cvdSCUwrENJsFW8iolddQakV+VlQL2zFmzop016gvvGGy87mEsq59Et2b1kzJj
NopawdIhH+qJLiRzTqlPZdwwynMn31l73jDs5udcATKHopIQVzYyAIPwHqfeDjOeOAsPgXkNNjGa
QQu6JB1BpSSiQYNHILF5wtD/QZWzqeNlN61tqxBU/xMuSOg0YHa//F3XNZkkzgHb9iArIGaz0Icb
iVIPIBjB4EBMwa6/leiCwyx2fez+SjCG0dxnPregTbfo2lA/Fshs4VQJ4M2lC2zdyRFI5emmG6ET
0ded3lnceT/dm2AdDu2KXwKg5/kK20CbEAJQvD3Ylt02VnVlntG2PtqDM+1TVGMx7Q4dMXQYnvrd
7SNJb68rMDQ2otcGkGi/vjR/GYRVAZ4/SEODaJtOatDBc/5A8PYx+8BhW+aHuc2rpgUOnTq1XpO3
5i12Bbv3BlfwRcir8LNZm/u4gmTi6yKYpgBN0RRyOJNbdD8NXKloSMDwqfR2ex83PagJBj4Mo6Dv
4qoBZBK0QE4omPmuLe9d80vmNuRvu88VCHMTiGpQ5mZ2/ljxbr6PnBSU4dGuOBU21y/S3bk2jI8F
sSEcdNrHoQzo7oHK8Jeyo2oD2VNz4k/EbRoHxpAgCyHj9sEM2aURFsUwJGMJXk3zPnsG6c2CyXmb
EqJ3GOvZS65I0CzOuVU3kqxod1iBMke8MwvRQFr376YHDaXnP2AUKhzkrx3zUW9OoGF3km887qfr
YTnaZSHisKF2QbspmQOXD7VUVI1BYUVbtiOsU3A7YviyI+60/W2r3PSfKzS2mqFmXZarLdCCe9NP
QP7xJrvKrvSDZx2D0ZJrokEBqtIet5K4dUOsgZnDF2YVmqVrACuPELn3wEKSOBECP4jQoJnblekX
9cfvvPrAlt8+N+gjw0brUsxHBbHWMI+xgCgaDYF59hNNl7YipQhuD6J+4mwuPQLsEVmDMenysoFK
BpoUEf7ttcxuoMgRONIDGlYx69DZ4t3nWwhogw6mD/61OMZ05NpE7lCiR9LYl33mlO0ukLJ/dC4+
UK5MRhBmNQiAMg1fdUx0pG6wV3KyPNXvaCIw0JnooKPL4VEBbbyF14tjOTNEQQxnpMJgqYj9wlwm
S3cXGZ5WoBtdJ2LPncPZcnCr3WQ7+rXcEPJgwDpbjVT73C196Sl6GTDiwFdHPjcu3zAVlgarkuus
6Ud47mQ/7LOvdOZn9nSv+sbbxm3/svp8TIgdS2Va1TOWNateta+80E2RwthNdokSTuwVPLGOrWBz
vY1MKBiORtBnCfAEo3I1IbTRdOlyDhrPNpj7YRL/vXud40xO8oYGta8JFKww/gHiE4lMIOZR0CQQ
tnZkvfB82dbVvl4h41PUpepB8Ixvp4zCu9LET1URneol51WeN6/3NRDjT7TZUMcpxREA47NneBAn
PUYPdNr407SXePJcuBI2XyfmUCbWM3w1uJFWCX2heEkD/S6oFk4Ev20eIN+lbYUaItfLq70Hudwk
xXjx5cWvMHnJua1c218HslUghTKorNslgNTM8iBRdzV4gZ/eNY/S3bALMXAserIDIv/d+N3iPGN5
kIw5BoKq5lOCx4EB8xuQHm4X0KMlvALE9tZ9rIyxO8kcMGcWAUadZq/IdFeDciznZG3flx8YjMmF
LeasKgMmVym2fmgJxhF1W3gKf6tfkFSbXwMikuigJM6C69v/H8GZ+2xO5R6iGACXHpGiLkI3fqAN
R+EPAwcb7B2vbUkKFBE8GqFwHeVmhEL1zv42HJbfpxY6rZxjbO/gLWi2Ao1k/A0HIcUw5uCKeJCE
nrYv7nne5P9x0B+4TGQUC6rQWXTLacJBcsCwnRBxP7iLmxzq7yXn/G3mFdF3+J9lMm+GQk/yIAI3
K+BGV/yrHDCSaTqoErulQkQwpHMJLraDzhUkc+Yxli9Wi4wVmj/ijMQPtAcRzWvPlv1ev86e6GFa
/ys31N2+zz8WSo/TKpFT9UY4RAtQ6RVbeB+P5vKRF4htr1AWUZemHejIM15i6Tr8p0LfDrWb7Rv0
Cj21UB9EzzSZ38X36EFGDCFy74fr6RA47RUqc15CuBm0o+Miivb06YAnGZSdz5KSvGfDpof7QGL7
+cXJEiqDro8+/qiMZJyS7NF0VAKvSr7lESm4kcumu1thMudiVJM0ymNg9mFkyxKygP3bbYfDQ2CO
gtBTAm26f5LxhBkQYurcjDcPgjH9ZajDvMixiIZSZ8ckdymdDMS2jhidx02e2dwHJf3qV6Hlat8Y
uwfFp4UOdKyKHnBLfChkRzlS0uzKFZNjkB5RWHQyW/bHl6D7LybMN/3oCp+5gEVhkKK2A35coWdS
KfL33AjeKln8ES4G5+bdzhSswJirtzP0UJWoYYoH2dZtUP8+6IXXepNLn+sRmPcFkr3eNpttF7oC
ZS7iJpaXKUsAKrSHwEcuMHG0J/2I2fLx2P2oI/hQbnaCt6uMh8mqqc0xgYdXmEUaVE6i99iNPMuG
4mPrUg8637U/2x2PdIJnTPTvKyc6CaZgZQNgB4++Z4fd6An+f5EO3MrNrVwZe/kWyIJbuQAcEOrK
BB3/qHbloLQI7emen41gBXL/DndlFbq/InR/NYv5glIVCElFfQvIVbz2NO1ad3bFlii74JxD616U
P9SAKP+C7Pegue/3zX3EaQ3bvvpXP4P5qJ1M+X0L/IzWDXeRXXwN3dxWv8pe6aHLiBfhbPuij0Uz
33KUxV6SaFZNi55qsISFQ8fLFdyGuGISmoS2E4W/74nRLd6Mu+z83hw9zbRFB1SbDmjuOadx23T+
vSyUZC9NNF2yYizptxztmd5NJPNyH5VyKA2nj9wYdTOq+M8nQy8Tg9YM02hRNCq52nyFRoA9Hfp9
crD2vMhw+9I1DLS7oSMdw4SXUEkp51M8I4Bp6snpdMcyjh00MG9v3xaIaVDNRMx+gqidAZErwyjj
KpuIFILUGa++SHXionZuo2zZBfq/qAoZCrDg4rhcimnU3YD+vIl00hEe2ym5N+3WOlYIOjPBI+sz
5PfGdCJT1/sVdJ9j5I3jmdenvRnprXEYawuTCZrFM3BoIUiCullkElkACbyX3eV7OuOFm29InGAh
Ay+1spUQgLIQlFgw0InGmvPFtPLGjRU36liKfxvfAG8h2Ole9YLv/0UOnvoeJowAFqVpB2cB7Ri6
/GRLkRi1Ysx0JKoHC19kq9EhPoHhQsJj7KfkUzpi0yBC56Sym5x445xbvvECn5rUaq0aJBjqql9G
koFtKKavFN3B+0+yZTIKEPG2nm+b6MYFiz5gcKCCPAxTsiypYmaEaH8zQZlYmuovzUQXt/AElulf
ycgtYm7YKqDQeIyWWTDWaszSSk1KNHTJwE4Gy2lE40kODcOORvmxkJWdVZhvcRj96KVgryfJc5Zm
r22KCcyo9yMj20tiyWPs2zieMn23wKIwIgzpqsu97jH+kE491g5xCxIFkEGeA+74FDUY1qBArYS+
CNBUQIuQWfUU1aLQx/ig9K6VjhLKHIaIFxIq6658JwY2by5yKzhEmwS+KNSQwW7GppChP2Epg9lS
E8Yc0TEI7do3He0UPy8vMrgPQ8/kDYBuflqw6YPlGcgi+xDsgrrNpwWQWWaj2ELE8jHl1/02v9cK
hXGnSdJHMZjh6JVX7Jt99yVG3FC5OYh0JVff8ZPxm8tC9zrlTMGpZGsAUhmmUqY3eMHjqdcl2ve0
KR2tUP5BBgj0L0gOAgu9wuwUVhAatZV3A74YRCJhJhBrh4opvBwYOGdnhDYmTYu4489/EButgdlh
LFSjQdI9AbiKzMYJVEycdVrAq6VsbuPH8s4MbyufNkezlZYDUCJh/pKJmQdZ64J0scy51M//0dVZ
WwExB3oaKlOau54aSHMUjjKYwOkQt/GQ1gRWCTI8NFs1Nui2DuDe3Ul7nvrepjdd/QDm9tDNKgUt
FlZaB1/SOiDzaBLVBEcGv2Fn06+soBi/Ii4h2IJqQFEpgMhufdwUX3Rnso1D7kUq4T7FNgLOC1uh
X3n1Fc227mUIWtJbWPEiiUSe+auCeeKtgtlMqNST2zfTNREWWtpXp0JmHrkpBi/ypcIKh1ek7Nye
woLPPfXpMKb+PHrKYXZk0souv+6/6WpWu8u8lHSIi0XziMUmwg9dkEnQcXpet730CoF5BEVKjcld
urq/C+CtnX01URgWPaLvQHTCeXNtrwcsGFTMHXc9ezIUCdQcwwjDNMyKVKPwLbbar5wPtm2SIIoH
saaEaQQmSDTGQNQTapLRnpKcg0PYxjiCCgbjaNf4BiSnnzmI9DNcH/gPRGZZ4mgsVYB1nR+0+SG8
G3/0Kql2uT9AVSR/m4/TS+nMu5nbp7p9Gj6QmZPeqvEoTCWQWzfwoSR/yCToDfSO5GKlHVfq99wq
fGulzHFX+jpIR+pDl0dQ8NgQGovdYSeIRLqb0CHSOvWxIpqN2bE75Xdzr9lg6uCnY3hfmPEBqjlE
Qb7gVzROIZP+AYkne0GRCSrqaGLlZyy2b46PXWZcQJMtglrOwAsnw067X2YX+1LEGUA4c5Rf7S2a
jaFHQckCWAo2sZ/iMhIUdJZCdgCT1xFolUl/QuuxWzvGSTlIbndSQlRfeH0am/fFCplxM3GVF5FA
O2f7pH6WjHI3m5g3X7TZmWfj6fZh2XQBePOq6HIGPyx7CzeDkOst7XRuB1C16BIppMq+DbHt1DDE
qKEiABUONqKulkQoDfH8UlM8PKeXXfedngrRUX6rEals9CjyKjtb64J+EbipKNcPRuUu7yV9btGC
aeLFRi/CHO3vyIPQ8LrFcOweLVPO/J0XNm31MchrTCYSVSdTmxoNmOJB8/JDiUiNUjvnj9z3IGd1
bIQm5a1qlMn5+fCDktJkaB8KSXCEGCUoJbLfvGt+M4ZaLY01k1RJlDhQADh40juYT+5EXz7EO9q2
FB7BD+vMj6nqNGhXRK9iTpIf3FL2lpPBywXMHVQQHMfy8oMmwpgM4nj+oDTXQBkfcjxgMqIdBj/+
yrsaN5/caEIzoaQCJTjMWV7ijVaJWoWAuzHNSPVMkxvxjylENwUlXRhKm0dmuflJIelJ9U7OsiqX
eGqkqsOSYX11Ibd7dVAazxinjDN8uHkWoY6Mxy1mT0CmxtioKfRdU3QgWhgXrfWEJh3uK3TmuwnG
kI9zH0t7oYxbUlax5cji1NmjlYPyNxjSl7y2Or8vm8K29LbwOE5iy6mvfhibs0oyfbGCED+MNqSW
T+APLW1oeYQu4h/Eky2GQQUncnmHdmvb8c63wIIJWjCVnTNDJUFpyyVCSIfm9kX0ZmNxb6+Mh8BE
I1raC2lYAkEVKpyTzmjvh7gIOX58q2NTXi+ECT2KKLIEKQKMfl+/hLvxvtft5OuUg2AYEzP29Nv4
Pf80fv2DtUGXgjLqgKKarVSIwiJkXR+OxCiE/RiUf8bW+H0bYqvARKVaKcs3mmCR/r08GEonRnPY
5rjt/xLewxBkfKHb3A12Qcp9O/wX+kyblrgCZMILNQvLQh0AKOARIVk/orLbtQunWLcJgsVQjguQ
lLIt31B8T806SnDcW69VNKLXz7g8ye292wZBohnpLBVDuoxN6G1TF2IFm9CaDuzF5U4JTZSPOyS3
bgNt2jhO0L+B6N9Xr0DdWGSpUgBkSqWbjPkXvQq/3obYtoMVBmMHfVBUig72Z9zoUOxDUQx1alBb
zF6/jw7avuFpBG9FYeAs/M+aGDNIormyGovidRmRu2lfT4cM71m1tTih5haSiikp8J6bdDaY+Uwd
2tpyzKEi0hQgAwqGB4hieRhAhC5PyPlQW1CIiUBljbFwOoB++aFkpW8nTcA9rqd/ROWglbodSrob
W6HL+VxbjzBcZAqmw3F8MUh3iQR+xzJsUg2Pgtf8JQOxT0xatFBBKUR3xve6cShZx4v1kiLzyIv+
tswRBVQMiGB0GLzrzN2tj1WRIURCU2I1HKFOetQEYc9Z30btC7O8HxjMTmZB06dTCoy/ZWToYy/0
Nd/0ohPvjto6xmsoZitzVZ3kks64VZDGVlDmbl/i5Z2zns3v9bEejYmvClPTq6kGyGjLh8HcSQGp
OuSIwVeP4nPy1+wkO731u4funjdms1nKWS2QTRGEoZ53Gd1LBeWV2YXyz0H9ooHICwIVPmed9Luw
z7o1lnxpl4sktNAKxINHPaU6kV71g4ASe43hHt3pDsIpe0qfs6fMLXxeGpDzGTXmmJtzLQ6BhFVa
lKIpcub0cYo57x4eBuOIYykSZ8HE6kZw4+tTu0uE6kkXSt7pprt0axfp71g7fF1ZemnCWoojDjbl
34kxbSM0SDbQRgHNuf3VOAeafYsPjTbMfQK4cM4hlYJiZsfZOB4C6zLqVDZijJJCBwJyIvFsl+hc
u72ILd+LQTLQ+cDvXs9K4zFazNH/kXZdy5HjWvKLGEFvXunKy0ut1gtD0z2i9wYkv34T6ru3WShu
odUbMfM0E8oCeHBwcExmCzevtxAWxo1MICKghLdD+s91oLW1wPUZeNXD+12wBiXtXMeJgadLMUAE
IO/bBDoMvMHbteIvSq8SWNbBHy8qLJdPmcZgK7YQSqibZmf52qGvbdOtwP9cYApi3EyHlDZQ/tVT
dInLON4mr9RUFD5x8xsFw39YIiQ8h60BxVvK/gRuBSTzyTZ1+zv98Hf1n+UPYNyxPka5JQ74AUo5
3INh3haI7JQ6j29n9Stid8GujTIk0rPnRyyCHc1lDpimEp8CRXsKs453jOnfYI8xyJBRgaQzV+BZ
OMcY+ryS8hHuAo/c9J0KIeu7eBdNeOaqvnog25xzzFbfn0tEJqqS9WwspRyI2m2wyR/6BzQNuJZH
/EaHnh0lM+Tdnqsv+SUkc7RrE2JLSgHIAYytwR5K7j5KaBhh7h7+oHlr/bP93lLGPKem6RQo1uP1
sA3uo+8VJhXoAqN/6NA0BGaiff7t+nFfocUEqcjiKzIGOYxDL/eUSUDY0ixwehgKOx+d5LYo7MCN
kRPSXio8nDrKlHDilnk/3yr/txXJrGSaKuXVoJLPDc6e4sfAqdzwRt2Px/FI026VR5Uzd+C9+9G6
I3hCDafEIaVi26EP+05QqVEfOHuydkH93hOkrs4tW4iNWVRr/KbPcjeadLXuUzdR9MHVVnClSOhB
ubYF9Ocs7kMNfUPhTA8SiXfz2G8yothKGrvXV0Ut9RoK4xJ62QoygfZKWF2dbvIB1E5JGe11kNW7
ea+4qSr/vI64mtNc7iM198XCQCLRkXwAJHT+ILGFGe9juRvuBe6IG8czgPfpHGkKipYUIpDkTXAK
0FDWP7Sb0DO8dNe954iYuFMOvI/G+CKTiEGgUl8EJStfFKKbXDZ3aphyqmw8GMb/RHMGsRPqfwT1
Y5ZTu0oip9bfOB/quitHX8L59hXwARgrwHGiHSXkraNHH+quruybh2a0+WLpqw/ypWkwbiftu7SG
OAW6cF/lPdV/aA7zRgenveonHnJ1m+srXA2f6B1lYogcHEeM8ZdZJRYVvQ8j9aEqTVsTvxui30y8
Lt/1+2IBxJi8lOWWUpYAkm6VH80OjUY+NGUzlCsLj5+AXLWOBRpj9kYtt1ozAg2Buz2SO72tXX34
uL53PBDG0nN1skLIkGF+1PJUSbQrVbVDmOJ1FLoxF+5psRTG0OsC15QMvTrkUp8la5sOPF3zdZNb
IDBGDmZr1LDop6FXeXWHR7eXn1DY3ZGd+k+x4TWd8kyOsXCUWMpmDgEHcWY7lwu7DRIXYurbWOBl
m1Zd+++VsfnAIS9kI5hQI5tFedOU951i2LHW2AV0cKOJ9xT5P2wcLXeqgjl7pJ4Yb1ElwtgrqDY0
/oiu79QTcjs8NZ61KX3yD2/8aN38fqMxhmFpapc0Kl4+RZ1jCqgWyXMrZroT16L17Ys2iC5k7bMh
VIHwPYjDzhcGxkBRCHqoFJZx8xZ2xnsziM51iNVUO3JL/908xgplEWxQoozNG/zu2AW2AQUeaTuC
dsW8tT6Gm/oWojub66BrZ8uklGEm+lAtaPedr0vICV72UkXsHJTVEG+wO64w8toNYqITREMRCuQu
LF3YnOZmWmoNHnSoKUKq+FYU0Aht569VAwaG2idbk3Cy4GuZHwMiU2jg1cHsdSGj2RMhn/GKBQ+z
TeWtJbt9pt3qUDZ45lXVV2we8rFU9xD6TGg51ZkYTYhSuS0hIIjPFtwbPpV9KY8EnUq0FZ/3TL38
XgBDPysUn9G8d8G1UAjjoHQywJK5uAGJux+r6Y/rJnF5qigEMqyGicYacOqem4QJKiMDPJKDXcXv
fXpXqKWtCLyEMbXlc58OEANpThRegcJOEI9FMY36jA+koLebWMqmMupNl7/oyu3YHKdgd31N6x9p
gcec35iM/TS2lO5+r+8rP9iFmP6kfc54LLg8til6aK4tjvFLdUtqKB8BLNmFW2VL+X3AlL3hnd3V
D7VYE+MvyrHSwMoJmEYUX/LMcOSh+2ihyHV971ZNDjKxOMKgWAbt2rk9DH0ipGhhhz6WkN8EeQTx
Rc18/hsMFEoh5QQSps/zvHgOyCYkmGMRBT/FPJXDW2aaX44hqL39BmCMWhf0vpQNAEiz5QoYwZWU
1+tLWP0aYNUGDPp6sF/n2zTWQm2qARAiFa3zta8rg9dLM+eSuPgYaNhF4UFHSRsN1yLbMDELAUKH
WEucRNDB01E7U2R5X1wIA8EsJLa6LhspRNPtoZplz/FORdXyOshFCERB4DFVkLJ9Shqf71YwNuJI
ZgsP+CR1FTkBvco9tAbdsuAFdxffhSJZ2Cu0IoG/lI3v9Sow5S6UgEQEUArHroiqUYoBuL9Y0AKG
friFBSvlJI/ZDBhLI44KWsexwx2n/pRm8jffZ4FEF7xASpveNNMKSAk6KNrsZR7RPDLyYtRVQ1ug
MA7TnHORWCpQ8li6R9DzPKi8L8ODYNzk0NWmIlli4nRyv9eIchwLzb/+VdYgVFxiSNSANBKGcL5X
sSD0dWLQVSBRJSdvncbprL3sYIJ5LRGY7y4pYjpKpZI44qYF9armRZErfkRO5uabEJ3hH/Gd9ZHc
0Am2+E4EOUbs8gpAa2cJfMkyZa/DAAbrPEOjS8K4xCKzEoQSxTcNDegSagGmxRu1/mypO7vZsFoc
WFQZwBimWmw2IAkUU42DOHGgv/6eHMe7+VbdiNDpyUFZFO6bbbeHWk+fOcGjCso3E42jt7zlXgZ3
zI9gYlYCArE5ipLEmfbJnerRjlT9FrJV0IXQH67bz2U14hzrM4+1OGxRMMxxKmDBxVHYam7rkfdy
b2BZGJYgR+Ft9jqn4CpFrvksjGdAhhpdojQUOzfbqIjKOJ+7xAmbH0H9XEBYNIddcdZGHfnFx1yg
MKY7CbGWQtMpcUAFsjH88hRuOkgd0fk6fuC6YqQyBCHBIi2hG8pia+dzB3YBsaxTZyaJh/EItNeJ
yCWPW86ieDhMtEIqUwBbdpM606ZzoXDplG+4XeYIWXK6MDrEhxnWQ8BxypcpBDwQl+tjjBIzWZNW
JqAWzamad3qoTxDKspN3+hDoNn9A+LHi2paAbGE9tELd7CQsFIAmlN7RAZ9ujLfxAzolkIKpHtBU
x9ncFbNEJZ9SjYuYVkR30blZQjKkCooeothElN22+Rf9opibtTghzjoK5bGm+ymyHZlyapQlchap
I+mjK2o3aodzJ06c+/rytU0/GAIQtH6hlwQu/Hwx8hgoApmxmPIDs5c5nTPdCKjfjCYIMqm2+KfY
7Fef2wDFsmQcacwsQPDiHLRJ2nao9Bxza4L+LObRqZUnXsrn8q1DQWjrNcRzwYyp0COy8FkIsEcy
NXLqBCcZamLzVvPm/S/zLxxenLB2AaJ1FoTqSJ6Ccoo1ig6qx6LU6akjonE3v6EdrZAStI174xDu
1afRETbzCSI2u3Jr3PGb9tfOuwqinU9RXcwCMk5sFhNF6jEP7wxNv4+VTSG/V8Gw78eX646FfhnG
WdJeNw3binASwg7nmwr53NRQM+AULYoUau1X2akGL/QkZp6KBt7raKvWucw3MYYC+bQqE/QgccbX
5En00kPUfZJWqjZxxcHOf4zPsctNZdBFsItcojLO0zSTeJw6ZLmSXfQUb+cDkgCoflMfVvp/QAd6
8VCGpUJyFzMCiM3RosxY6gQdOLwSMnoGLcntduRUOiBneGqgleGVBIR9gxe8gmMgsmPs/NuXm6MZ
fGaXMYQrKdUEfKve5uZd0fzkfMY161wukNnQvG+SeVQAoAaeGjnIBhzMnfEWCJTSwJlKSBdjiKe4
D32VNyW7eiNByAes7LIEWk62+0nXRqUhYYRhgVt1jzkTp30WHlQbmhSb+ZkcePXwtfsIpwMpPhwO
6EUwldHZnINGTRN6EJExNyaQ8vLSy6sQFlRY8e/nJPX5GczznORJi6pvY/yQzZcSj9Pr34sHwNwJ
eFZpcUsAIE6lJ8mtZ/Lc5VpAiVjg9xoYP5LopCmGGBDFsdlJLoollJKZlk1sZS/szQNyvE7jcxsk
LnisqKkvcOnSF5dCKAlaXAQ6HgnxQ7jN/CF1jNsCPI5qeWtEeK8IHId5Oej0iQhuZjqGT2kvzhEV
UBlPvYInvlqBJAnxCRxYutfA/hI73ZY6Mu1FhQyCb3ICiDWvgrAdOczPm5ZlNtZxq2N8FEqC0562
noCZcCdsuk3L6TlZMxZdheoOJGtkHc1K5+sT2lHNdb1MoU19owi3caJyrHHtBCsaEm6Khf6uy1Yo
ucmhPKBoaIHDa2vCeAqoAuN/6x+9m3RQ+BZcbs/FyprOEBl/1YCdVcoiEIcQ5XslHKeQk5jn/X3G
JpKmKluos0BmK95JveCICY+H/3KQF2Ou4D9BBQp7dlluiECyoMzRHDvmc49BXsqDFyT2AD4NK3BE
jC3eUNNTHNSSVVfr3JKXol8z/F+ad9BcQLigM0dtahu5DzsxdorM+XxYbVDMlp9sucCFNjuBLdvl
bexWCbc6cDm4icWD+UVB2AcCAYSB5zaZQuVbKEUDr1M/3FoHysc3QmChBe2R4JjH/NQcjOcMTbe5
mwtOdIJwY/7IkxqnRsJEESj9Iby1VHQkIlhifsRI5GzKhdhBnnUnRh9ZslWGm0gzPKmNoXbx/brT
XouVaKkRAQQ9i6LIGJUSDmGcjFh0cLIoIwRGOcANg9Gx6iBbNuVyHdU/oFxcs+UFLJsayCK1auMJ
knF9PKLV49Rqf3FYlgDMPjZpHIWxCIBQehK6Rw3SPtd3biU6WW4c+wRq2myQrBQAaSTbRTI5o/g9
iZ7UmDMdtvKiO8NhrDKsqibKFODUceoifW3HLTRDQTh6fTky74swB69o5lTqWuAYki0+5Dmma7Vt
9NTcgZJkV9xSIQllo7wQ2c7+sU64f0B8Jp34ahK89TI3Qz9kSKLLdF+bHxL0xQJ0LOQRz9PxVssE
z0lI1CAegFJZAfgb0UlQcDqM1tJ9Zx+OiY8R2ZrqRD+ccmsdO78HHZMOrmnHAuezX2wFzc6fxk2R
2cVNjsH3dqveJ8+8kGl9N+mwrQoiOegmnbuTzJKq1kxwJ1Wh22B8AAYL6hLOrMz6Zv4GYUy0SEdT
0GZcTN38kgonnfCiIforL53ibwDGNvWpkKQ4wyr0e8tWHaOz0b6JPM3ozafivt1ePwq85TAWWI6p
lnd0z4Tye4lOBRUyC9cReF+Fsb5OmVO0/mLDMqFxre5YGejP+fLYAb3ODOVXmZhqhp9/em0ahFlt
1NhpwYUFJz6ZH4j/vesrWXnZn4Ew14dpQSaWgHHM0QXTqZInrfoZTD9zMJuLf5OaWWKx06hDDcFR
2QAWVX6pbucDUnbPFR7Yuj8d9Mm9vrJ1h/h7/3TmBglNPRsaZOzBr1jtxH3+oHqULFDwNI9sajBm
xE6DKnh+J8M/2chpQBiM7w45G8w2SERG2ppKDFMpjdLOotsh6J04em9j04m1mXMJrFr+YsnMQQ6F
OIpSC0vuxVNQvkv64/U9pdZwcY4Xf585xxNUmDQRhByIq35p92hgaWu4FYDVINIEVSAECqke5uc7
cvFei7FXWt99WorknyIn94wDbabajHsaQhb7+FZ/yH1eivdzxP9yfb9xGZffWVKuVQE8R+t1R8Ut
bpuj6InP5Qb52PvkIbgFS7cTu9Jd//gHCajViGSxaubAj93UdWjcgRv+QRs1+o1wUxy0t+l788m/
Wm3yknNG1o3z93qZ05/FTZW3FNEUhQOoyY+hiMdpqezUujRspCI4r8b1D4tXMWabPzvkmDOpq4kY
Nj2i497pPXOTv5t7Gq/S1DNGF8Fi4YAlHMk23qt4dWuRB4Lgj0XVBxncKG+msI5wlwvt5OToIy/T
1E703pMKHjXW6hotdF+BD4AeFZZMaYJUrFJUwOpeyZ4Shor7ydMd5SB40x0Us8eX0BlOfCKltTUu
cRnj1euhaNsQuFYoeFXTeEX9TbcmuyTSX1x/SyTGUCepNvKyB1LVWW5Z+0kwOFH07bqvWfNlFrIn
2EMLTDHsqI5eoYzQqUqMEs/PNH4f59frf3+tUoDnGQh6aZ0RVRDmEkdnfDab9KVKa0gbsgnfLMoq
hLlk+48Yfdacp4UGGSTSVYyOi8z3mfVEkwYon8J5VrvmGD/0N+RhRo5G8FQYvvZBp65ldyrs6sRL
bq8FLEts5ovN2mgFaJ5DwJIei+i7OR0yXhB5OdWAeGWJwTiTgKjVEERwJtO+2ylbfZfuTJtOjfHi
u9XU0AKJfXyCHbvCED6QtNsBbnrGlBrFohRlvxiVr1sKZ/PYFoN0jOI2F7B5YYZOfPWbGua2FMWc
u3sVBdrfFoaOwB3GRkeZJARBBEYYJyx124wOOFS2aTz9xVJUvKtN9L2iV4v5Rvqsh5rYIRoRusg1
0QKttrWNJjfOWta/0G8ctvMajMlZVfbASUCrn8LH6mZt2VFZvWIk1IYW5fOUK3eVkLmVrN+GPYZd
cz2157rivYtX3cjilzCeP66qlqCtAwFun52ystzGUfMXqQo02v7vpir09bOIVkibT12mAkLK3oT6
IBl31z8abwlMVFdMRdYNJt1MBR294XNE/safQ1YWnXuUvYYtzMpVr4tzKyPs0eejmasbXRkfhUDg
vDVW16EhGQ7uUkjlsgH5ZCmkMOmDpkni96CzXuQ5fri+VauHaAHBfAo1Bpu8ZeEQVXpsR83sm2i9
ziqekPpq1g1DM/9dCvNJeigYocUVSymD7rnuNQ+h947khRd3xA9LktmTpR1E0h7l1jxOeo3XhlW6
etFD3UZtfaXs/iLNtPxFdPMXRqiDyLeRCFYuR6c8M918QPm0kDlJEd7+0v++QCFGVJr9TJ2U6JG2
94r8WxDEHDtZDWQWm8tczHPRqXIuAkQadZ8Mr1ILWpp4SzBxdd1aVoFMNJKa0OMF1Q6zZ10cqoFV
BrEjtpkzq/1ezW+HSbuPEt4Uz+q+LZCYfUtjJJL0DkhD7fb97MTJ80R4y1m/gRco7MZZZTenGaJr
TPtBNSLfzJt6l4ALjlc65m0cE8qAIKQbRw3LyUrQs3lYXZy5UmzOoT21OlS9DEGR/Osfa2V1aJ5C
NKjp1NOiCe/c9sq2pG8VuXaGXPYsTBuQ1JbSb7XV2EL4qqV3sniqBfc66koWAeVK+CpFA0M5ZhyY
pYZdgB7HyKxRhpJeg49+U5dOgXvzpXaeAjxVNiMepPXPyTWgwJi6iLU1aA/54aP18/ovuTSh8x/C
hHA5ytwdwns0mLQPcXzfDT9T8d/rECvv33MMJjwo07qmFM1Y7D7GO+LR3FOhjOb2n/yEAsPjsHcS
OnGtvSf32SnmBPyXRkXBLQ3M6JpBKeKY79uQriwtvcZJfNDb2Ubbi12l/yYa5zpdcd4SajOKDmov
QwURJXNJJNNYzZol1GjasV719+kUgw+N8hiSY/80nPTtHzSsrSwOCWPRQj0Y4BorEzrHbT+QsWyQ
WZg8A+1q5i7cBDuKSun9UBFwCJ888dJmcKnLcG4mRqvQosQcmSmrhk6ahgyBMmwWIj3QRE3R4WUg
9wqG5iL8gwHglXcVBUXRGw4VGRxW5jIERVFRFiL0SSHl1O3C6ZT5lIwAfK3qIdlzXwP0BLJJG8xm
4EGqWqAWZPtoUgkMdzPaVB3zNL1QIrPCN3eta4EqVaHpKfRzCr7FLTfSy4GBVUWQGaLQr0iSzhba
CTHSwShQeJuzRIZKabQJwog3TLOymegBVFRKlghWe8ygnB+KdlbQxK0j0CB7qNriqVMdaEsS6Gcx
uvNlRhjMVi3BmOMvEC2SqgiBZhCnXjZBd4HX3rh29mhHDrRyMfyA3ifmkE9EkqpMjgoUVdKHrj+Q
f9OT5VhvJcgTj7lLWmfQHYg38saFVs7fGS5z1WPaYra0GTSLavtDzgtXNx5GNFolhFNKWXn5UJ0D
NHCiUY4edvpDFhFSVZjBVKtYYOvVtaOBqYI2uORH4T7aUg3ir3ceSRKme9CESPNNF7w0QmEkY2+G
uSP134j8olsFJ0i6tHNcu+ga1kWkSBC5sxdgP0jp1OJSgwSd7gUNRkzHvieb61fPKgpqHHgbQI0b
PVTn2yZAJ95Cc2jtjHm1BekrDaDBfHQdhBtCMHxcYzM1qSopNaRGtH2akX0ix24AscspCVzIEP8k
ItmHWrrpA/nL8Tkdj1TgjNGcALIiZoFpjsHCFhrKTgCvG1lPGWYypGF7fYGr/n4Bwhhf0ZNpQp4H
2mti4I/RQRbKrQxCi+sol6wS0Nmh3R0a+qDhclkPPwaCVapmbIHWrNgZGjosErf6NmCw+gUSwPse
5+ok8FLHrIWgwwGwiBBgJeg3Yqerp5n0xgyJHzv/aN8FJP/vM9+8qxpbmuz4u/YyvzW1LfKa4li/
QVFRhEAHIe3qA+neuV2m6MUzrFaMMbRbPpBezuwmiB6gD3zTdzy6LPbroaPdEqGRhBYWRCdI0Jxj
9WLUK+Mc53amt34oKj/b0DqqTcgxkovPh85vRD5okoZYEsYNTSb+yQO0PdTBCAre1/6DvFOmfxMM
Rdk34hv7+LXa8OYDLj8d0FAtQBETmX/YDLOwctAmzJJktjEOkw1Fvbdm7HfXjfJy8yiGRb+UBPUs
li/HaCs8fjJgQLDcKfJTLkNxavx+HeQit0+3bonCBFRJpTRjMwOl3XducjfIdn0TvZIbROVo904m
23wsbgIoUaD5ghO28hbIfLWmEKMxmACNNE4a2sU0jZsMQ7A55vkUnXPE17/Y791krulYIU1VqQDT
qpMi/pNMnDwC7+/T/764JUUtmmJwbcMi5rtufmhEzjXM+/t0Mxd/34jAiaXW+PvZ1NhqfVMphXvd
FHgIzGGtjXGs9QYIYZlE9iiP90SaOZciG9my1sZcvXVW9mNLv4JQfCcCOVr6dyUZXDFHh3jEK5Hx
7IvxdGYygaBFBFic5xtF39ckclOM9FzftgteLXZNjC+ILHUWRWEC88tR3oseuEvRXp/aI4bKaBWQ
Niea/yAANP8JoSF6HZzzzdi6gaUpQtcOwO5iy8Pr0A5CXpc23aXlq4BZHlsrqPIu79SQfjLQ0tpg
aDjoke6gmPEQmvOWqF3vtGP5eH1dF33VLCrjGypMsuWzioUR9FyCaRza0uiWtUIMYQ2eWdog/YRe
Rej+P23mMxheHDPViDNwGdBDUByKttzr0V0RVJyzvGqYEKhBfyNILSz24h/G3hAyAyDEEG1tshxR
hI5m8cUk/ucWahbCT/TOWheyLUogo+mgRf+kGN0XeuAEKo8D6TKUwN2xQGB8alDPUY+RJThwhdQ3
SQ5ep6I/6EI0baVW4mzaqqmD2UTCWBJG/1XmNBM9k9twxHKQcBfsoJ+crCcR5zxdxNOfm7ZAYQ5z
3Vhl1gxA0ZXMfCWRAi6+sTOEg9yn0X0UzI2TG6Q6lGoiIwFulVvIdE+ceOazeH9x5n7/CnYYsBhI
qUJqGZ9uU6KJaTcfLR+dPnhE+uRZgLBI9R4+JSYSV7QdNnYjshM41rNqo4ufwMQFIcj/kSLAt01K
c9dAFTRtd2ngc445D4U55lFbB13dYKGDH92RD+tH+aBsQ0+7MR+Tm6y1p6eGO/a4ZkhgdsH7D+wX
InrKz2/SIJiMpMgQLKb6dEjSVHKmUPlqQwG1IxRTINyJBjE0OjKXqUI6PWly6r8GDWMn4B+VIcI4
jpwNXDuBSxjmPtVnYUYdF2tJEtGuzcQ10VSUd5UtWzyR7NVtW6yIOX91KIMQHKQIdqK271LS3UVd
wJm+50Ewh0/AmOMw1ti0vshFp2oGzTbNzuXY3FoMstgzVo2gkAZpDEp6Z7rRYGd34JH2MNIlHXJH
d7MXS/PLu8Sz3LSx5Yfr2JwFsgn/rpfNUksBXQv6UxukO6ORvgwBd29aMsZ5oRFy8eQq81lBjjQD
5aOVht+jZlOWlfD61WUAw0I+yJRBnA4K4fMTVFqBFCo6MPDoe8uV8d3ifaTLjTpHYIxt6OK+rAMg
FG2obaDhKtlCPlqc03NBPQASHGSSTdAEmooMZ8DAdLJeyr2gReCnNvfo/pFA7tN4oycPjrzl9eJd
ZD5ZNMa8q16rjdoCGoFS1HicQWQFvE/tn9CFriDP0KmLPr9FsDq0h2FcS9RVcFqdf6YhT+sQ/0cE
Odhwix1M/P+IpPR2s+EmrXlozIWhIQtkRkgagyUp3o6fQrsjgt/hQeaynF16PYyiUBUYzGvp0J5l
PHiq56ZW6yKmSA0hcOdm0G3SGP02rjRpY4qNwQk9qBmwG0mFmC0ZgkIgB6PWuggKY7MXZ6sGnhhG
D02ef2/KTnIbxDrSiFpHXUv2JGLm4vopW3maQwoP2RhVxTAMQkXGXvQ5L5Nx7CJQnbbp1phvggma
FpkfuT8gjfCESb+qPMze52A7Jw5aOX9LaFa8VK1Ihcge0J1kHuljxig57+WLvDlOAyCQcEN/BhbJ
Ks02StWQKBwB4RLPHJ8rSDUZoOEYX/IWzWPFzQjHzBVNW1/Yb1Qm4Ghm2ZgHi+DEd0Vj66Ve2+I/
nO9Gw17GXLAyqHbDQJGNYkn4SgxymPowRPaEc06ntaB/9UjpIwzQJorfeIOLa35licf2Wc1Tiipn
D7zONeErbcqmjPKKW+HZtOF3ZV4UBH59uf+uj+16UdW2kBMJePpJe80qvMtCb7DLV/OHfFS3sc9l
iLm8samp/AZkPlre9KLRhABsPfGjO8ZbiDDtcVvvgu3sZDfJtn7MHwWXF/GsXQ9nuMz7xrRmKSs6
GEu2yx/o5OmP2aluhk3ILb3xVsh4mC5ow0BHfsLOhQjV+HC6yYjfmtGukMCOX8i8vMGKB9UogxJk
hSB6Z7B5AzDydlFe4vClYmbcCXm06waxdVJRznwU/zje5DLKx/dboDFXQy/LZZFA1QBRqQbtmqqJ
47s0SrWHcEhT9/rpWz3gCyzGVtqoT7Uhp25FGsFJA2vUX64jrJsFunlwGyC1jQaO8+sgs4qpyQM4
xwRC0jmUNGt38EIn9wvn70xwgcUYBmg64qGIenyoZEc7YCIfnebmRvRL9+uVt8+DvQBj7lUyd5Je
GnRhavZDV2xE+O+cvaPbf+Eb0RKBcgsqR0ien+9dbGXgZpZqGgMRrx/dHHxPlRfcSk4KPI+Xp1+1
8wUcc4XOalmahdFEdjSar6Oo+AYSca3yntaizVnZqtf/DcXy3BgFaS2SAkrd5Hi6upU/bimz9jg7
5V3p8udwVi19AcicKm0etUqf6NrqVrPBO0PVQDmr4mEwp2kmdQu2LGDgyfw8hLYe8AZw1k/TYhnM
aUr6oJtkBRahbrK73At2vU/cz4kYrpddXQ19s1AuIqTEGKhQI5aejoCycsOfVEwwqPccK1i17wUE
c15bbS4Gq/m0b8nXhcf/tYI2dyxlD9aCLQeQtybmzMazHmX5DEAaRgnqCw2j4CLcsHWVj+4BKWE+
UykPk566RTxchSQb6gSYcd0/oF5ptRKnNMRDYF6YxBxHK6LbaNTxS9OBzpg8czZu9cqlGmeUaA/K
JszGlWLW64FZRkg9lTcFLA8CsJZjbINd7RK3KFyovLvCh8p9vazH9QtkZvvmvB+VVgcy1bBE7otg
nU12FHVEbiMuE9EXq8GW50c6tsGvGazHiwt8ZnPFuu6KQgB+sush1kDdlG5rH8nnqAGvT3Qlo4rL
f4HGePwkw+BVGFW//GKFIKr3ixu0E/LDNfrFLu4WS5FRTJehOMHm3ISQ6gyUQBr9YPM2NS8qFaJw
MYQy039+NU7xXtlrNwzgwBuCPL5ssYRVTQdZaQOJcHtU9fRnQGLBKYpE2I/FSDzE5bxW4tXoG+r1
Kvq0QAd0wQmRdQkRMSmO+c7wUe6RQ2hvtfyplCTHiqzvolxtKqW+q+TWVZs9sveQn/evH521JS9/
AePjUh2CnpqFX6ALx1CQPbl8TfT7ceBNitPL+ex7YlZKoV2q0CFU0AvEWI6cViSdCu1DhcpHvu+2
xEfD0ZbX+XvZPICJKUwIaHhgwHJM1myCsW5raRhq5BBmxc/KQnMiUX8VgnHTGdAdJPFbZLQPWVDd
x+38VjcC8idRuQsG8zWTeWKcl6cTzUnocERaAxalonXi3LmGaYO+WLOv8dih4/mxNyUHy+k8OqiZ
p87Im5e+NKhzQPb5KJhDYMYGAEc/e0K/Ej01Bm6QYfZ+OSDed710CQwiE7lMRdCaKV0iCLVbm+Jp
HoYlpRNal5wv2ioDxQQwSWIIYHHEx0VZByEmOY7pfa0qEMPhpSy5+8hEFwroasmk/efDJYrbaR69
jFVXt2xldkzV4fehcEGZs1hk8ZxVFkA7F/EGyHGi2kOf84lyoaePEohTOBt6WZvCjiLBrKGFHG2i
GNA4t89KVqo014YKUj9kxtQrpk8fMhcqzIkHXjRKA4Wm8bHAgwj0nBh7Hdz62/VvKl8EWcxPYI5I
PQ44oAF+AnGEW1KiRd8ZXdVpnby2qb+3UL5VHcFrXQ3SeRALk5Ci+AsJYPn8d7AnpwULSqpFpLKb
+FlWsqdEey4LdLJcX+5FLMSgMKeFhJqQDAJWK6vdJrCMzcwJti4DEhnUlbgbwQMKykVkOM8/aSt+
aoqnHcqN5KM/KHdkT7zxCJ/n5icsDz1+0YPx8nW5CrSVoqUUmU1YlIRkGWu9alqpyUiBazQ1g/4c
roize5f+FHTRcO2WCB47ABmMvQpTPZjykH8Qp8n86q7dFN1nE0Hbwb1VDi8gvwhCIJGH1DRoJX9J
VTAORxTLqBVT8wONkXgtWXYavg/8ieyLK1ihJXD0pEO6EY0EFrNxg1qSaDJgatkR5wvSV0+Y7X+M
n6utAWrczFZjlE6HZwGD/V80RgDjU6GrFQJumI5lljcnSptlqCzZQfrNUG+z6On637/8XCrIvtD5
DtpBaJgYbIN/nTYhZQ0I7cYdXTOzlW2H+BTDxKjXbazd1xMsnw8ADb3GGMQxwWV8bvvV1KvipAMv
QY5PO3wSVsKJVX9Qtri89xgsZvPiRBsETQMW1cLUoEWpbCQ4Jn6B5DK5ziAxd1HUTmKCVBjU/PCs
sbpP2rxPrtGjKNvDpjn1t3z+z0u/zKCyVqmgVUaysL7Rl3y13CjInOIrIiVtdbvMTzcoq/ldeJt4
wQ/FybZdamPaIPV5rfGXIR39ITj2EPeB6gn82vlHRdhsJF3wn+VTOTorx/xEe+we6DR16c2viepy
DJcaylm0CkxF0pESRNCGblTGz4yTEKBVHTkSmv+p9zQl3tmmXT91G27IeuFkKJasgJYOdzFlRTxf
XxmJzThFBPmYe0JJ8bzYi3w0m+3xdKRccLf8ZPgFJI4ihlwxyIRZfwlp43NIVQlSEEYHsW1Mlptl
A3hOc867gv6Jsx2EWBJaUZGFpC+bC2WSGCWnJhvB0pOA4wHq3LYofOd8JGr3DARcF446Kk+YsFGZ
yKEdh1QskHqmSqbkBT7TrR5zmCUoGAuXzhVyi74r+7ZEZIuwemtNjVkA0XoER8JO9hS3P9H6zOAB
srFj9w8qNDxQxqklKcmDGlyx0Nwz4WpkBKLFLU0d/wc0gpYmlyeRB8p4t9kgcic0dG9fiEfJUCtf
gogqBRVzhKM0l8Fz3ysmc7a7jJ9rU2mOGzOEHzGswinVyitMdAdyrIaHwtj+pEeg0SRYWbLTkaS0
/HQ/bum6Zt2mRsPfTGqHF3YKYSgkKU3wpLEdFkmr6HWkY12UWKrfdLgphM0fTJpdOC2DDtL9xmGc
lpjoUAZRgEMcw56PmZu4zbY8Rttqo301cmCgmKMXF1UsoiEhxWirW8rRNlSaDec7UQu7smvsWRPU
aYp1KHNiNaM77jI3Ag+Pakt7xas2PC2Jizla0KEt946NVP6HtDPbkRtJtu0XEeA8vJKMKQdJmUql
VHohJJXEeZ759Xcx+55TEQwi2FmnqoEGWg1ZuNPc3Nxs296S5TGKmGNtLuNJaMdGmZ14bv84kbJ4
x1leXacxNNumAQ5Obw7KPRxZh/DzVhXqyl/gakBoDmwCGi9zfsbOnFVke12ayBXLESKy9MN/imzh
p+2LZ75XLjYYM+RnTD1A8Q3twOLe0aGhaylz5TZUuR81q8wcTcmfJnl4DTuRqQuzcG9/0quYsjC4
WFfeWUlbdsPoFEEKw8dR96CeNzegjlfJ9JsRpmbnlFrnNFxu3tTn9ASGPLdzMTc+Ckb2i//jT7+X
PCfyko2pqeskcGFtEZvTsrAE1cpyG+64jJKvHmrfRilHyUhCjfgLfe5231S0wgZTOoZake/VSBE3
0BdXEW3xIxaxui9Kq001IbMHr/1CAQ6dmf737U+3aoKBHDh7dQiPtYWvNJqg6mVYoTanMiKTKcrX
QlM3gDny/GmuHPLMyMI/piBLPKOHAWtuJ4akue2Pij4IKHwnP3RAIb/JH4NnxSn3+edwP0S722tc
dU9T0RiQZKCQJ8ul59RCQD5hYN7sme6OXhRkOKfuXxjRJJHjBgiIidmFe1qGn2tiVI2OJNEPiVGl
7r5L7yZjZ+iNiTAeQDMknU+28IgkjIe8VOe/vdcehMF7MN5NGTGbAIUGGRARBHaIxWWtVBSLQ4YG
HF8enIrX/jxmnIT6RsxYOWHYAXmjzAPU5KsLO73Z6E2fJbBOhaJILbd0IhPi5l53wZOdcr35adFc
kYLkiaHJLaKga5dgoFR/k7AgX0bH6dIlemmkbF03k1NKd5FODaD0nTF6ue13s1tfuj1ER/C/6yig
GdoVIZvpWePIfPXkjIL8WvXf6h5utLbYV8wgixQ6Un9jT1dWRQWeKg2NHIQDl80yo88Uc8xVVKmT
9LfX6eFOi3ymQBh8ee8jAHq0uZtCSV5kuOCtXXx2k5WT0KPmZpEmjIG561tJ/dnGEO1s5HTXC0KM
TIIxQQXGOpOlXX4m30iztPUntIO6wvWK577+i7VvGLm+WDAik8NRztdmCvNLI+Ug1tw2cxhKZ3kr
U8wEm7b9Jy2r8skGJlY4t/3i+n5G9XpmzZ4bQ0xqL2Ju2GehN6pBagOCoeCZqzu/zP40ev856XRU
50Vvqzi5tkTo32asscqU85KsOxmMIuxLJjy9UnamKbLzjIJGc6cGG36xYejt0J/5hQj8Sy4UDKEB
dzDQyZNNWga1J91ncfjz9jauOQdroR80KwySWV1+N8/qqkDKo9RusnzvBXfJBOLLLDe84/qCNClI
zjkHQEGLhtqllTKahNYU6pQ2WugfO0v92/ei6Hh7KWtGGFQ1KYUwhU7edmmkY3WpJORM4Jq5/7Nu
apA3aVx9vW1lbcPOrSyuYU/XgkzrsNKryb055eL3ehi6D6Okbg28r1kyGVCG81Kja79UoUgHpbWi
Ak3GyGsfckE4Gcnw1CXiu+MdcxuAwilD8u9VmZN73cunDjO+8Mk3H8rha9JtpGBXK5kr0nx+os/b
sMhiz7KYIQfPklN7hvDoov+phAhbyrf0mrfMLLxMKr1WT0TMxOa4y70/cAFA2bTVRNywspypML0+
CnsZK1NofoQ/6y4MKEVN8a93+hnyxSLaj1yxANevriEzI/LFYZUCJIw/1V1+QqWTi1zb3TZzdWje
zJAIUVug+bxMIPK+MXBpJbWrLPkMd9MHQRA29XxkTt7FHf5mxBRJFWbyzCX+WTfCLBz8Eg7gXJOd
LvcoLyTGU+01yn2j+G6dRXvePh00y8IpjdDSNNVhPDZGIB5uL3fl48HkAAMBe8u44HIgaiprsTM7
+PulRnqAP9RVQu9boogboWjdDDsK5wvXoTZvyFkEHzQ5AEtm9ah2BM+T4PR99tInG6dqjmfLXeWv
5oX6lkMsxdJ4HVe+yryVnSs1A7HCIW9jW4uKU2EOJ2uLIXRtSW/EEcQIJDqWI/qeJoaJGDBylU/i
b7kIOyfL05I+c15u3OxX1x/eQjJpoLtOdkT4u9y8JhTDstSoMERNHnxRgiT4HltNXO4FrxRCOzek
Qd04BWtbOYvsAsHggqeifWmSHnAvVHk8OKKa79TG27WIRgvaNznojrkYbjjhdeNnXqHCadNUUj/e
O5fmmkmhnzXq89mOpo9tpZavY5IZ+y7N6KWnnXgPQ738KazL8ZGGX/44lo8D7BWKJ24VktbO/6y8
yvFHyYxy/uVP0cMmGtNc7Z1WUU6D2jzoobxxGNZNzLMPMwUIH/bSRCa2adZMRDJTnAY31KcOPE+w
UWtYM3K2pcucSZb6sIPoKbVFHlpi81esvLem9/bNgM5ANQh7yhI6Y1RyNaCDkNl9rqCh5ylxNwKq
ZHxrI1da9UWeA/9jaLFdmhwKCCVbpDEakuVO5KvZX2YxUVbzFRoStl9HHbxVvEe24vTqHkLAAb83
LmEto5bYNAzsiR6Pqny4L/uIElTzL3yBFE16a0uQdC4ygSDpY8Wa/AHcf7fH8Rkpjn/cDvGr+6cz
igI6DiWhZT3ZksOmjjOUpSvlN2Wl9Ls/7gkkdrfJI7pqiUYOtCUmFE7yYjHyKGa15BOArYF3SFkI
1LBLo3JKfdQfZCBWd0LdC27qtczE5krl5KZaHTOt53Epaikw+kjRHKiXde7EztuBV/D3jNO+VxZd
nl0X4lQTnwD2sDzjRW6IuTKlgyOn9wKKUkP6p0tfb+/6NToHI6SpJpYMrvnlQyJptarvLIwMkt3+
mWg3DUf5pNR2+41GKHMk1stti2veiu7iTG2lwkuzDCtW2E/FZGYY1Ee7Ez6ag+LetjB/v+UFe25h
8X2lIE/pmcPXEZVj+btMymqP8m+108eudRoqfvdU4X+bYxBu0CWtOZZGfsK/pEvysjDQ9FJUSUKG
wtxUfU47uJniVuicssq8XdlXv7Sy9T7fXuvqnXRuc5GyaLnfmmZbDE5wKk4zcWRjVzvrgGnayFu9
rLUr/tzY4tXZykpcKWLOvE9VgWHyhGgPmqS2NWpZH0x5UL7cXt1a8qJJikRIoJB0ReBYpnXA4GEB
80ouc8TCvtiVjRq4epJE+9umrhvyHARa4v973S28Js4tcWo83lP6Ixpir8yivnVm/Jf8RJ0CBoNN
mNraSdDBAM+4znlEdHFjUMSKC6nVecH9kL5FoT24yScasIgezTof8m6WFDMcCRlNJl2c8FN0VO+D
Xbg5c7C2y9wbyDQwYTzzZF5e9KNc9FGjUAOq/VQ5llP1G+aebm/W79XimwMaj0kuYm4pUsSFId6x
iZ6WXJF6VMsuMNbQrfNm4xCu7SrPYWBib/CmpRaeEXZl5+sa77whyj5Nem/t08LbotRZtQIZGyQf
MqCtZXEu9/speXspDKFH6HTC5t00L/NmzVRhTMgrPHsW3lFFGQeiGVL6xtPLoBr7sAek4v192+1X
vz2CDCqPqlnwcV7n2YvHU/peVwSVmlXVG8z8+9ofvQmQ6bOiLdjZWnTkeEkoP5Cxk6xcmqI9bcb5
KKaMbhnm34EvI8vh63H4q+ybOP2IioEWf0h42MW722tc+1bnhhdrrMpqsgL0AW2z+KX3j35dbKR+
K2ERhmRZM4Em0jNYtjYJwLHijeihGRAATHZR5+GJoCw+DYPRnXroDtx3r+jC4OIhIrdS2DN6ktnd
1GQ27IMuzF7f/oUNin+waq4xAxfQo3ZtSrcljJPsSWxb7UMBd9nGo3Hl2wB0gZyRD4SlZdaXVaUc
Bh53tS4nj5UVtryKe23DyPUAF30p8g2Zxo5GSWs5DqmlYsioFdSjujH4jqSkhzyUbBTfj3nc/Nak
wukKJlvNsYZWupE/T+qWnMCai+gS4VXVUCFRlnAoSWq6IGrgCc3k5jESnw0pPEYiU2T/4tVGywDO
bLD5CgjPRdiYUg+Ul1fSWWLcgmKrHRvNxnauxIxZUgyUJT0DbM1/fhYzhK7ztEI2MdGlP9s5zQGg
+EUsh3c3qvhsvAVQ4JsFYwBFXRrqu6gGjcFnm9Sgtr0I0D+tZzsR1fffGUATeHrQ0gE1etURG3rf
15o0t+U6Fw4DTMpOIUXvrqazHOpK9MW49WGIWrTVPakry1gEAaF3hiN2X9Pp6+0ju/JhqNRDucut
hIrPsgXmJR2EPhH97GCUnKY29nKOFExgHm6bWQnkOJesUwcxKYQsnwxlPqZSrqu81Ko82atp8EGz
PoT5jKCKdf1QSdrW83MtOeOKogo91/+QDVoEPGvQhbrIugzI7eiMu8xtv5Bmz+nRLE1W3On1Jt3+
2suIwqcGSxL06LCELrwvsXgqeDIyCDxlWtB4ULpWgrKXslM7fUIU0A4zXo/DIcruA0OU3dyb7qQ+
tzYul5UIyc8wSbthKOXuXFybc4/QLCwjs7UW3tzcUP/Ipfz79hddcxxemmAmKfZTT1oEjUrvCBlq
AV9Z+EDLDy6Nv0J6S7eNrDzL1HMjiwQ75YznXsVplitKynHY7/Uu/tGFGiDbunNIDr/3sr8ls7Lm
rFSw5yIZ3NcUCS9jCGc+b1MDPFCjV4ZjlHK297zCvEtM0Xv281LY5cG01QJa+WYU5nQIh+kCUJ2c
//w8Qpo9/E0hmKBc8u/A3H6w/C2CvpV1gXTl6c4DaK5ULz6ZWIVi6vvh5NTQMGTm4M7iZ9ZU71Kr
QP359d3fjkBMpxhz9LaWzHY11Mb05PTR0aTfXOX2MPzK/PsBrze6n3q/gXZaXduZtcVpD6kKpo0m
jk6l1UxgqdFDKCQnuSnv+y78PiTTRvi/xslRXZlLu7gHj4arqWtQA6UkCDKR+TF4Sf6mJ3009vld
eYgP/f6QM9hHuWKnPkRHqkSf0n3zhFre7vYWr8Wbix+xcBqpskR/MMOcqaXo7+xk/uBxPTCbJe6r
wS33/j4Tjhsmr7CVb+t+O/P0kmklXvqplGeBjwQtYLmD8Ks9+LvU8Y7lqXnaFmNYCTHzg2YOL2+m
Fqc/GK1Ok/sJHNLw3U8OeJrtmVv1ibVE78LKwnMKpY+Lel4QwiF775VZM1c85af+ZTyqzxubt7oi
iJWZ1IclAozG5ealiYjkuAlALR933iHdpYfs6yysCmfPR3k/jypvg27XneTM6MJJ6kr1ainFU4d9
+So742N3r+10O3hW96kbulvV82uS09lDaMrP6AmOhzZvwlkkyxmkp5hGJOud4oFhOv+ouADXHAvQ
avFq/ppeh8N43ELYrG7tmdVFoWBMraCURD+3w+mUJ4Zt6fczE8ztD/imCbmoE16s7cr7K14AUDo7
Mzo2q1y9cMwn4bN6pzKk6J3ofBQ/h+fs1TowL4iGQPtQhoz5eDZzi/utgYmVK4PJL+55BtGRnlg2
QhAbG8pI8SdnKGaVzBZ6/CLbIC9c/ZoMYwHm4DacFTQuv2aiSR76c8r8NUWn1e38zjshxXgSHDoT
juIou/Rj+3MLdn/9NWndmrCi6nAYILW38Nk2DjP4M2gMMlV8KkVmQiy9eKghutj4otd7iCGKGbNw
N1qn5mJ5ky51I6MTCKBkf7XeqzD8uO0xqws5+/vly+2TzahF0lTLbEUpDkEMeHsovqr1xlfasrKI
K6qWh91oqTy8w+ZTG093ivnZmqtmtxdz/SK93KzFV4HAddAsX2RsrfwGeZw9tNRxp8JNjafbhlbW
I4NQoS2MBAmRZGFoavo567JGJ6rEe639kA3fBRgsbxuZA/vlWZYAu/PCp3fPf1/h2Hx/UsUQoaTo
1JxmHqxqhzbU5ljTioeR0RkiPRP4OcmYLz2g9nRVKAxqLpbG0JimvEaj+e6OKIK5QDf4zzzpulSL
DGl3WwPYPyjBjWMhlw9etIWFus6vLkwshSI76OVqfWAVQjc8NoP00I2fDSmGXKTd6+2wgYBe+/7U
I2a1N5rVV0IEpa+YlZ/xXGuqbGckyV0i5U8VofS2B1w/L1jUP2aWGOTQjwJtSkdQrVN0ENQvlRTt
k/HvMvAfk6BximSLWnplF5VZvFGmgg+B5bLSEkaqSRsknZhnT+FRD6RXy9OfglLl7dRkh07sd7dX
uOLjFwYXKZQaz0QUjTU5qtb8Ervc8ekNlNGvrmZ0a0icRhuPsvzlttGtVS4yKrnW1M7zExTI4tpR
m+96+xKCFO1LRK1EaWOFKzGJZMoE7qpDRXD1zK9o2PpRBB1Vo4gvoqA/Gt2wo4f+U9W8rdx3zRYQ
DoYpKAvOrcjLoxxQjyRY5ezmIeLx/sP69iaKvRsQLXXkX8Wr6Ea7cL/V9dkyO//5WUIlF61Bn7mE
cUsd78UmskWQgXWfHbRpayhs1RTdMwpCSOgxh31pSlFn+FYzTU4cqQ6ay3bj9XZcFbYVNRuHb81L
gBGrIHqBisCmc2mq7msxn8ZiciBeAe7SOqrBJHu5F7X7NArc2y65EoRpCRIZIQekmCsujBltOviJ
jDFRCJJ9H8ejOxVbA7rK/LcsbhQ6VCRiuAepxBLOlKtJJAxQqqKoRkVtcANnQEoKeQQFLgfv0J3A
eLgz0XnvWnfSPTOhyoN/l9z33/KX6XvhCCe/+S/G7ma3vP5ZVF4pmNOrW8pndp6SNAgA8BGrwvwl
FUNrA0jPvjZ+b75/nwEFMFqjUXulkrzYZ6FvAx9ZdfgrGXZNqVfqp9sfcsVBKcfT3GIuhYRt2QCN
zW6GWjFtkQ37rPqLCqydCx/94ddtMyv+cmFmETdLWr5iqACBi4L4O6TQPywx2WLCXbVBaRelJHyT
atPlAehqYEyBxq2d+fLnONN28GF8v72MlVa/RLmHSiSPMWriy4JkPPVN1Rd0ZAqZneqQiqHwyP3T
+nnskH79zcS1/7GVAHMITRw7FZrZuzIyvmlZpG34xuqnozrKxAUqYSBEL9dbeEnT9BawqpIOpRn7
D3F/r1nWcZS27vUVh2fV/1haxOkhDS045LHUyto+MBW374y/+6bbWNCqGWAbVIDIJEE6XS6o6mJd
imqylMwK2pOSRdOegoX/KW1T/90AUL4juaMISIXpn2WwRHGNIfWAFQ1toOk2AmXGgfxV24eDLB1q
M1Rss26637fdZ22BBDPwafOMFpzblwsUoNuqgg6rvigWzpgyvG7ozVMRWtn+tqWVKgwFyRlUZFA9
IC2fnefsjvOQtRmalL1MyqILgXX7yWcB6iH4/4fMfPbCuqY9Fet2ofj161gWJQLNg8H4hzh6o7Zx
N60khhe/ZnE0m66DXTMHtCIphrKzAk+2pzRW7TxSFVfvxenop2LxSB8g2CoxrJqeKWvABc4HdhFB
2wpl6kGkMTzW/URtTat1cCRe53+VvHH4LgdW9scqgupJK5qw31j3yp1MWZh/EFOb5f0WRzTVldiX
dZrESqnp+zhT0MP2dCXY1W0YMu8zdBJ/JMsb6f4yTFHCICSYgHXg7IWtbBmmIispm6EQuTMn0zrW
mSi6kpF90eMmlly1DrTPnlIxhuPLVscvmvToqaq08DkRe13YB7mmfb7tj/NCz67M+QfBeQHGhmQB
jNsyUbfiwBukgUs8T6P6Sxx2vQtKa9xIKBfbfWVlccsAeGt8lIhovgnSryYwv2eC91dqds/pPBg8
TFuDVOurYvYHYlKSvOUEABNnak3PTXPgX3baBjK2TSqK6yUxbjmzB8/CA8x1LioRfJWs1YzQdDS7
c43PwkcYq776d9wsu+xD8KF3Z3XN7HFrUnxxt7CTmNXnq47YCLhmcWC9TKnJPfKCju9R8mXEn7/4
ceH0arFR91+2FWdLYJsJxAw3UKJa3tqBXCsK4Fkd3VCe8+Cbn+ovwR4GO/SBa96M3/+LCq585Y2X
Nhd+UlYhhLWJNR+PYPKdLGzb3VQIv1KfEeRGhCdCa/NncQQFwTQqe11VoRN2/vcW8bmn2ydjZacv
1r+4ExqpHVIgOLqTR3ejmhxAlTtlRyNA38pdNiwtSw5jxfYbsyUU/CAOdaYX62cE99PP8JCemg+J
ZktffOm/cKbFtbf8xG9p/tldNPhh2KkxhnWvd1NV/8uLRCeZoq+3d3LLzPzVz8wYcq+PihXB15sE
bhL190PkfWisYSOmL5XcrpazOJJQhQVFrbCcmXUjv+s+yXDKzVLammbXsBLPUMXiUX1uHvWNsuSS
sOnNNFjFWSeTMIo60eUSzVAL0ZmPC3uy7Ooh/zA/l8Pf/gHFNTiigmP3JB63mmLXQW4eHdaRaqOs
x0TOMhRUfjnmUlPYEvdYhRxCkz/f/nArMe7CwuI4dp4Ud3KVmM4wfqopg2o9uQnwboaH7bDY+n5L
NoB5EymCzQVq0E4E7kVGoI+WWI3jaDrIZiW8dnbxs2XPpIin7r67C1+KD+GnWbe7eW1P/4W+y8ox
nGF+lKw0LkVmUC6/YZ2UMlQqEhH9M6N20HDkj6A2XoynYdc4wc44ucJpq+Kx9g3BTzD5QlrATbz4
hhEIQ6lX+Yb1JNh5QN9oqzC2dipY1j8mFstqDA3VM6SGnGo/8yyKO7gBTxBOudkxejVt7yg8Zbvs
UN4rL7e95y1rvswtgEycWV5E0DbLfKVP2dAG3XX1UX1Sn2d9XnVHE8f/bu0ALAM9gOzRaT+H7r+4
Kc+tL9lkOk3yUy/Cupr6dpm/tOlna/qSe1t91ZXoNmdzkLbME62wUl26jaz0bdUpbWE38dDtAsiD
n6y08nZj7G/JhS07nG8n5MzWck6zTLNKRK+OHd3rh//Qy3ZHnTaVcVAfisM7ReT+vzmFlgGZIaQP
s/eeBe4Ejh+/9HgMafSNMnpTmUQH3lec246yevCoZYCaghGBpPzSjNJYEhSZqulkcbefyo+ohx/b
5iiRAd82tPap6GrOAyMzIccyedIbGB2qiHjmi4Xbl/IuF+5NcXfbyNpqeNrBxAGQjTHkxaZpMYRN
UioZTmZ9TJNXHd4pq/pRNltXzhwNl6dr1gkjUIHdkd/Y/M4+zqhhQ/IJHd0eXQTTDu+8h3HPY0aG
qWirTbmyqJllHZktCqY0KxZXq0KfagjNurDDUfQPuar+bnqFYyX33/ReNva3t/D6O+EJEFXMmCuG
npYTrXReQq0q0Lw00wj5lG+1oblq/86qBt49W6GtzHp4iS97b42E1npVGh5wxgAGmPyH3oPWTLpf
txdzHeIxwxwyGAF6vKCAL71by0HwKoLpObLKxFYhDlAMqu8UhPnPWs6MLIJ83ikWXA6sZe5G1ANw
Q2GCm76zzaHaEtncWtAi4JlxBNY5ZEF5pHyWPMMdjK1Ad+1u7BllAbDw8zldShT5nhyinpOVttyI
zQ/GqdtjN9ZU5ps+GTLySK9PNrLH1VWdmVwkqYXfNGYWW+ygYbgaOl169u7oMy+K8b2ZmWCeW7h0
hM7KYhHCYc+JU1y7jWP4pMUOZIX557bHre/eP4YWh1Xvm0zsE5XjoyiiU2Yy02uKnjqVCC657SRj
Y+vW7HHPS5YuAp2w9IXzGSLF3VHE+cy0+VQojC5YcqM5prTLK6/+F7s4D+NRvQFCCNb6chfbqk7E
VoOmf7Ka3FG90Z1fFh7YjQ1Daw4x0x3pVL5gzlHnVZ/FV/5HKxI9wXMCIz6FqrgvQunb7Q+1ZWKx
FoSxrEy0MBENwsdS2Wtj8Px/s7D4NPJoCbHE4L4T5Ypo5zEcV0Vx+r/ZWMSDauysMp18wWmqaGfo
7YfYKLZ4ajZ2apnMiSHaojCgCE45jwt7vvJk1lvj1qtu/M8HXxYkI58hXmNeh5bC8QeSpWyFp8bc
pfFGjXtrMYtAIJEuhnKJoT5vX7RIL23up61Bz3UjlBhpAsKDc4XtLRo/9PRIcPSmUmwpDE9R0b6T
3+/t2mFC73+NzD/i7IxQj0xTM8IIaPdvuuS7INF/lFBm/RsP+8fMnC+cmZEbX1KKdChtT5NfI7oP
TdJtOPFaygEzAxGMoQ2eY4uVZKlv6XkiQsQ/5G4+fbHM8qjo3f72QtasULSjT0UiNY+HXC4km+ou
gc1KoCMFMt+f7JphYlndGsBbeScQjf+xs6woSU2t17UEPrhxh9xuB9gtNdEuGluWXKZFZor/VN5Z
W7Ney+bGmz+g7UnHcgYMwzd8uT69F3IxaPlQNIwa0+4FbZxsKaMHa8ta0P0sWjOGqLSszMJWsym0
vWGsDmktgHxXEr0yN26mN2TgZZIMgoHxJkgg9Dc+oMsfZJF9AUoSBEe8G3cwXN6ppzlHFu+3WuIr
lf1LS4ulD2BbmnbwfWrBRWjPQ6rpQX/ov1l3zb+gyJ53+mJhC0+CWXOSC5GF+T/kP+OPGg1H3c0f
eE0bd76jHgV3a+byOjwyN8VTENzVXI5c9vxDZCNonMX09VPUIqWfgfUrlGs7mn7cPiPXgevcDnCy
y09WBe3oh6ISAiErdp06frQq69337qWJRaGptEZjalI1JFwF+z4sv/ud9vVfrAJ6gnkSzACzs7ja
6ypq264W2a0kOyid99FgKPy2iZWiI7B0DZpEOopQ1C05H1GAjFtd7EM3/KOjsWMcx98JNNH1Xret
wEk/6UeqVlvMeyuf58LoIrnszTBjxgajnj66jfHSpVu0eyudh8t1LWKxWVtNPRiYQNaSxtTbYfLt
58aukStxG2cbeDSflsswgUVzLkDM1AvishDe+JVO+VYLXfEuPMLfdExP7Sne1xs9lbW94wmIO0gY
Y9D70rWp5Q5GIwuZOyp5tBPksnX1Wt+4LGfPWq4FCQsqelRsZsLHSyOhmXd5bJqcH/2XqD/GUBCE
Poyq6o++2ljP9XVGQYDhQJW++XxpLnwhqpA4phkTuiUzbkkENZ0Jfupw283Xvg2EEUzOMIUxz8Fe
rociYpJbzLa4s+pCzdSJckDZaFPWbfXbnJlZHFgh5XMpNWbKZkpfGbDR7yTV2rqZ163oTNKA60Eg
apHJ0PHXhro0Qndi4NuOOnimu/DP7Q1bqbvyWWAr+R8jix2rQc31fcdSxDvrG1J0WuAq30BQ0JzM
Rqf745EAMC8PX135uXC8Z+10+wfMf/+VBwL1mT8ZI4LLyRmjjvmQ8xcTJ9VlDstuxc+GeDCldz9u
ZlYf1gl2mh7lsukyqGYZm4VO6Vg/RHmI7sC/MDD3dJAuBq5BKWLheim8jInOQqK2t7NyVwrjRoIy
ZwWLrdLOLCwnGwQlBn3VYiGfKOEpg+z6WXA0Rs3NYuW1UHVbbmv39ue59kGSwxkNDM/ALD6xuP3G
RmlDGKpJ1jX9U6gKj0G+u21hpedwaUK+3LjJKqbCK0PfVbKPGffSTnW6j9pX86R+RE2r+mA9Bh9M
1JIf1GC3Lap5HZYurS/CkibUNJGjsbRb5HddwOSak46qYftVvPUyWc+0zzZz3uyzpwmsjHo3jWxm
Z5zKP+0roufolYSOUj/3ruwGu61wuJZoXny+RQgZqVVo7fz54KL/UNJpHO71l1/5KXeT78HGS/X6
LiHLhN8UNUbUkiGgulydmsVZBHIa/IT0Uvpifh8gEOPW/GOrsVbf+UE6boT7Fe/EJIxdcNRDH7Kc
IiggIaj6iifE6IGNKSewSLHxL2o7F0YW/ok8aSVAU1faaT39QA1tZ6Xy1pzrUmntPym6BOuyMosh
AaS43Ly4DGbkk8czH3JzSP4i139qPheffRTeHh7yzlacyG5UG2a+Y+6SbRw3TuHKOQBz/M8PWNwD
Y9yblZHxRujvrM/Ri4+cEM1Uaycdoh/Na/EB/azDVtdty+biGqXE3U5Cw6I17VmCn1lRXtpo89Rd
h0388mxl85+fnToprSo5rmYrgG+ql8mzvdf0TjZ3aJ/Xj9VxREdHL45xQ2Vtt30G1xdJbgVyjFf2
cvCvEyOjNmLcR9HAPfuCxr6mwYMgmBvn7/ow8M5Dw37GZilzweBynVbhiSatl5DBI9Gp25dR//u2
j2wZWITKZsii2Mq5f7Q6k3YC7AXuEJfT/v9mZf4VZ5+rrAJwZm+3nPXV119yUCa3DaylPBcbtThr
Oc+woJRZR39XJ3ZdOmltJ2B1eIYH7q95stbuH9JgJ/2pdFs/brN/rT1aNNo8IPt4RMCVsVijyjAB
tQZ+QeUCXuhcr3SQJHJNF4o6mNV+MD64LZR17Yj4Bw0SgOIzMesSAtJXqNRKRVi49c4M5rHFCcWu
GaSVpDsd9armOXXrabMbuOo1Z2YXx69KYmOAU5MnhoFYCypvXraRQq7cq0hV8dBkfh88yBXrSJhw
IGAcm7dT2ps/+kd0gT13Rp+NKJvayeC8H04D4x61TAKLBU/kEpoJKR6dDYvHjDYKbpk/K5K/u+2l
11Hr0sIiHoOdJmdmNslt6y9j82FoYmcaIEHX6F8UmdNtcrJet4gxCBWJRc8Wgci3kdezc0fHvqmZ
dMl5Oul36XEeYW/30bNsz2iW22tbSUsQhlB4d4CCooW/5FdJm6TWSublSUtEZ6LgmH0e7iGVOJR7
lCi2sqA1D5zbTbMQBa2Z5YDSpERWxrM0dxu9f2FTvyXe+9t1LOjMxOJr6ZnVDHBbJi736KHhOxWA
dZnj2QhdK0cYAhToiFAZoGG/fENruZnnVq3GbjDuFUg0PU9BYumdNF/kIrQDYVZiClQGQbp8ROd9
X4+IClD2DQe7aH/L45/b3391GWcGFvf+UFZGkYZZ6XZFdQf97l1QPQjBBl/tWpDlOUnzD5ZV8ppl
AaWGZcyDR7JwtY+d25ysfbQXnvVPCJB+UwD3AfQV/r69rhVHA6MOZfk8bwpcfPFYksuiksQpKNww
iD7mXrITWut428RaHY8SIRAE6ij0T5doZSFpBSsJipwo3gh3smPtpaP+Sf9o2uNDMKEcnUJwsTWk
svbBeNUqb+VcpozmPz+LDdSOxYH3e+SK1OIn4xESSXvUfmwsbc4fFu9bkl9KUTNCBZj0vL1nVnyj
DSwLMUuYiUIIJ7y3Wp7nNnag3wfH5jFxjJcNk6sLOzO5WFhomYz0xJhMclvaK+4MNtNc86VzotCp
0PGikuQ59c8tHNjalWUQaIEP0t6HlnZRLeiQ10LnJyjdxkW2PTwme8/19umDCEsJqf7dVgycA9By
b8/sLWsHslZ1kaD5qWswRFHkPe9bSO901R77rQmu1YPHpCQi2CYTQDjN5XesJ1kt41CN3G5fv0oP
M3fILMObn+rTvKU+o3+3P+PauQNvRDWWRjuXyuxYZ44zTL1hElBSd5qChzSvd12zNYwxf4+r/WPA
btYYYopRXRztgcE+gH3s338Ki8Ku3QuHdJO8YvV4IxXCpcggwowBulyKlMldFXYKjKVfpv24607F
R8qlmlO7RgJdxjw2We2brQmXVXc8N7vYwUbL4ddWMNs7wcvg2e2BX3DyD9Zj8SHQ7PEYbLzc1xfK
QWf+lLVewbZaJk5VGFILNtQ/esMJvt2jt+/umI9mzBY3MSWnlZytJ+fad5yTRchzKHoyjXq5v6qg
RVUzoZWuqM1JMYed2EdO1mS7wsxdv+qQWW2Su2z6dttDV3qLUDNC14oCCMp9yrLDXir9UFfTkLjJ
aZYvl45zb1HabR/01dOHLQrgBtPYnMHLFQYkOmIX8SmbffeteQC3+OQDax8cxYSYZObS2cIlrwVR
aPKoT7A442oML+xACfUIFrheljHL/tC0J0/eIHPYsrE4F6EgA7qC78DVo7se+rpcRX0t3upXrVuB
uRDfeON9vNy7eAyTJPYborI+RrbW6H/rgbGDYjJyb/uDvGbJYiaXqj6f6sr9Y8izI9HsUw6cedCR
r//T3pkH9YfBxDd1FzCtj95flhOejLvhQA9V1XZTTPgsuJG28Jpr4fP8tyySVzgOQ0sN8Jipa3ba
mByVzvh6e70rRV6K4iSsZN/zKN0S6OqlMdjn8C3AyHf+MRPcRnKKo/aswRPQI5/soMfbUGOq7zWE
szbu+bXb79z6/DXOLoiwizSxE+TIVaPKkTTEajsVOMX3YrNYuFLIY6E699Dc5prxqJem4qIQegJb
4ZqDnZwml5GgxwlBbPnTLAQ8/T/SrqxXbptZ/iIB2pdXLaOZOftu+0WwT2ztu0Qtv/4WJzc5Gh5+
w8RJgMCAgfSQajab3dVVnnXEUIK86w/lbnrLPFGmdrog2Itqa585/ss02wg0EDpTQ0Ty68SDKve+
OYy3mG05DK50Mwda566opI93jVeEtXDUhOPaIFs2AANH7k3Z+853oDI1xN0p6jC0ehM511L2lLWi
VJEed2aVFBSJhgQKKJQ989zG2hTRQCLgC/RQ21X+eqW1oYX3vr5T96q2F90aHP85M8f4D2bVzclQ
i8xXieU5reJrfeE5/be2+yo4J1xLAC+BIAxaLCjTnC/MLuSqcmgszQ6AlfpxoO0ST3kzNVd/Ml1w
k+0wXAZuoR+X7XJCgE1h6HizQPMVGlXnZodRJxk01jGHVN2TognUXtTM5N1LMIEggH+AsGFx2maJ
yWGZZoUGlOJRCE1u6tsxJPv8uuh3cnSUwiKIdyICNF6pAYxZIOoCcwGI19ihmWYo89FR49aPSBYq
mH7M0v4a0+9Bq/0cUVCP5flGbaRAq7VwimqX9It/eW955wHZMIr6J5UpFguzRpNhVnXR+qXzhIn4
aATCVoQV4+wuuAPo+wyJDYbubSaBs9sk18GuDklnWgIDsVzszuB1BSGZFlpHFbR6fhUKJ9kovOb8
GMIqKh8gDELFGbn3udtItQmo/4DnkxpGYbMrw/jghJSwT9Se+Oyf54aY5clxORnShAOomMMXpS99
4ORfL38mjqdQGw60nXAZog3DLCbN9ZVgmDbzncED7swHeWXQvWUAKIdz2ISiFxl3SRBjoFza8EvW
MXUzMrR+pJloDc5WEMo0rYD9k4Oww4o2Jpi7oIoVAKxLmIhuoNG+lx5ryZ09AxLZVdgNAjfn7h92
DTELzyQLyfW5Mwy5LLU1wTeiM8Cm6ZYPedgFCw6eO9yIi+ifjxUa+ahko4aOzjrc79xcozrQnmnU
wm+gsi03ZQBAyTs2VYT1/xyRz+3Qv9/kDmq5QuzFKtF00xtQ8jjz99hpvWVQrF2uT7vLTvj5eQJj
Nvh/cJhQXWb3sMkSKO1oC30VDYc/WVOpPrvI92g4Z84tYjA07wAVdjDAyLh63hDojIwjiC4t2e06
O9CdL515BIvpXjKr8PKaeB8K7CaoVp3AlayqUm6npROPBqRXl33fxa40XdutiBKcZ4SO/yDlolRD
rK5SsTTF4BS4N/su9/VxCswocodeEXAysAS3qI3ioaNjjtbQQC6HN/G5N6RDrUK5G3Wb6BvG29K9
7k0LeGaT5wFwI8mz8FAP1LsyDvPDGmQusnX1Ot9FweUt5byez38GDS4bp5ScScF8CH4G7WlOr4qf
fyP7wSXe5EuhFhTg26rfBDbp0hinwYgNBimAIEQFhMWKycQZayiYZX4NuYnHdN/cZbv0BjJ4oL+8
z/5Be5hz8qCqjFsbsmwo27P6n0YB5s14QVHdNDFVCJep2h9lS9xi+tedUxSOEIUxgeegHscW4wZz
lFp9QTsidbCjyFwrTTSAR08Uu3kbE2z9zSBGbFhSh+znrnnGtHB46k6lKOn8E3Zbzt2yXdDpYti4
xwzBW5CCYEFrkwREIonrLKJ5b17KASOoMiCxwNgVm3JUUQkZkhKgGeWuf9XxzkieLMAFVlA+AEOz
i31RzYgTHM8MMk5fRq1RDpgX8TGpsk+7a3W8hR7N9QxwkOTo+HCG5zSxwO3prfX5w32skrlmVCSP
kFbBVkbDd2N8IuD51KW7zArV/KXPRYxsnOcjdcUPc8xtU+pqnE/x/3fGAGFEEQJvf+gX2deYA5wD
wDBQQM2fVb/zyjs7du1vqYiDjuM9mEkFL9yJwh51nfPgMpit0hgG2ObGSTusevwdnc69IJhwzgMA
4Gg3gqAQzI/s7Z1MSRtZkgOKBwhafqclj/qn8mi6ijf36DiKLjzekk4qaVQhBR0Gpuwng7Nejyw0
3JOs9IoJ7AQiQgJe+uNsTJwICzZnDsphBQSAYGLwxwI3w7o3fe0hfTa8LIi8VrCBggWd/GhjzcRw
srREsDa3+VVmjcHiiERDPq8IuGCKcqbiFADssk1uFfK7CaoJqb8kHvH11jP2GeACTWCBqa8AdbPw
WqNV9LPDdrIILDLyYdrbYqrscoX0cunlFJ2D6XXEUASGOEE/q7pZIHpR8FeHZretYo0oIzA3uYQC
Qh6vNSrq3aF6Vnw6g6E+L8vOOFKWapEHspTRFtoTlGnxb3tM9GrMcpgMBfbS1/oVQza31Q6A/1ul
dNPDCLqROSTfmhuRn5xQHZ+2FAMtsIuaAqbMzw9zLEVTXRUUqYBMIQd/wiv0cXelDoklV3nU3XVx
TVQVqtnNbkSFxU8XOJYMWAZVOMFsNvom57YhbYIXVQLbkLT10vhXQxbXiCCOQQSn4XR+2VWCcgAb
DKY0wA8ZS2ud1QrEZv4EFNys7+tODRR3/kFv2fSGhhXjtTou7i9RZehT3kmXeAopdBoMXd/zJWaN
0lsVqPV8VSd7TN97emaETiSMLjw7lMYJGDKqfMO2ltusTaBNmsFbv1QHxbeu0DL0KXs8al7g1US/
RDzH/ynGYG26AiynoqFyoTvMCZnlJm5GFWsDabbfWQ9tpHuXrwHuqjYWGOd0itTIgTrE5TrJqhvJ
050tFfsW+iYCQ5+fwqe1oEqBtB3skizN4gqFgdUeGuzfYb3Og+QuDaVvYFndJcdodX9nVR+2mPsT
elEGWWzsW+/UL1KmQ2XRuVcBQhEsir97H3aYXIGsSt8XI9a0NH8ozre0aVwb/E+XF/P5qUF3Duh8
4DVA7QW27nMPL7O8NUtKt9f5tHPVe2Xrxj+128E1Fb9FGRs1ZIhjiVC33MV9mGXZS9ScFBJGI1M/
V5/XqvUs+02TRKeXF6AoBSiuFcxXoOx6vrZeAaCGRPQO0CZvjV6iPHWtQdsN7c/Lu0jDABufNobY
GctOgzibGsHRmwh5FSqVYbIAYhvTJqdRPGh283jZIO/s0vFkIAxwesG0fr4ywxwrUBRgZf3yTa8e
U/np8v//c8cYbrE1QPPmTQJidzkGegAn9CvUTH1guMJ1AOhOC02If7nlXfzv21TUImrToOAAFAUI
tXOL+jK0oz4j5ak7AAnzoITly4v69MBgLKjnFipDRcXAwKgfUZUCIqF2PXSPhpZVCmwujhUsdVTp
jwtJiAT3Rx1CD6tETvLd5d/BdcvNSrXz36G36txDjB3Zav8lsZKjsqQ78EC7nSYCR/NO2XZPmQC8
ZqsS6TMsycqs7HISPxYKaEzVZvi3T2xma+kP2biLYs5knRz4IzoLblF86R0BMZ5oJUwwlDJN6nOI
kftZ4UWl6pfGa2SKIjvf6zdfhjlWWp6keh93uBKfpqC/pVdwDgEXDEgBuOOKxX64Wer2AzHHzLST
EeTASKGAjn+nem3xEZ3pwcX70weCTZSl8nfRRr6IagikX5kzlmhdNykTdrHWa0CDbFcZf/Tqj8vu
zb1SIM/ytxXmnIFWCQlHp2AW68l+0HZlMLYu2esuCTSPhO0zfeSKVsb/dCipOiDUpdObzE4SKB/3
bY2dXN+JL32p8OnSsPtFU2+bzr76lxfJDcB4OoGpDcY+gU6npC4qBXKZvpTqbpHfpPLbZQP/Y0Ef
FhiP14whn8wZFjp//NUclm9gsQZPG4AehSujJCIMwJ9BLPQQb9bEeD+x9F6LCIoT8hFdV2iDKKGE
dg++4+Hy2riBeGOI+VbrmC3mkmBp8hGdqyMVIcEEinCM83MJi1kQc/8rxmCMhYnwBx0oRQ+aQxnM
e+XR6N3pvTBd+ZoCAGuB+ws8g81s6qpRCi3Cs3oen7QhcddJpGrLPcUf28eORWVxX4B5C+erS3BV
Znp6h+T+yuliAcSWe09t7DDneOmVAZUV3MhY0IO2Xi294xZaeRzNTpDqiiwxN6KVy7k89IDh2Jkd
mK3+BUrwPmktv7dKwZyy6PPQv9/cVBkw0Zh4hO/16+p27bvZCnoIXAPIppFWU508Fq04tEWiLw0C
kb4sr3Fn3MxDKqrdcD1gY4NZRGkWa6/Se0rTEneaH5rpZV1/ax1IL0FRAkwb28DMh9UgMQY3/cz6
YaVf00aUjnEfbRja/dsCEwZqMrSgDcNOGXf5Y4lRyeIKVOcYVJGEBJD82LaxxYQCKZIg057T/OGQ
7unomwmAHuAkQvIP3qfBa4NSuoCpB+IT5/7l6J2ZGJOd+W12XIdD2VRuPv+6HD+5gW1rhLkb0mTN
htbO6hMcoMcoX3zVA2sxeyTADKMv+SK2AtGqmKsha8ANL+X4VKWi+2r9w1yqAE05QRjgHR3wxaDM
grMDWD9T5mkqUNtrLRL0vr0qY9SVVif4jZ0DMhvca+glYmCcyYCkfpnaRcYdZz3NvgLiR2QmWkil
6uprfdd5VTgLoih3URuLTBTFXJaTtjIWZSxDMMW1V3eSIPvm5grbVTHxMzMtvXLowA2tAlKmY+2t
9GgWqe9iLznqgnYXzxu25pjwk4xtNtk1Hu+DRfxY1n+uevPWmIvADO9W2JphjlKU6XhRaFiV1u6V
6Kqq7rIkCwpFdJ+q1HvZ5/vWEHOcamiilXVT1D55j79r71TDJg2iA5petJKaY1DKCtYrK7Dv4nvw
TaCBEd0CBPOkvjm+aF5e9FuYkyYZRryo6gSodjvgHewUq+zJkWU/2Tq0XcETRR4MvShmwcHg7zWV
fUcFEsIXjAep1pJaZkVgtiPFbhhz+YCqbmK6c9L8EYNrVgSb4h4LYCDQU6GUemzJpCyyNR3TBVME
lb1fpiX2l7ISTQ5wC8eAKf5thTnula0MQLvChfqgO6xgVXiTgjIAHyaVxHbC2ocAfPdShIMHUEYs
FLHilufR3gbpJ7pgIFhgIloP/qSoBdUe3nfE13bzte7lgaQEpLihtd3FRwhPjmAwrMJY1OfjntKN
bWbt2WQOS0pgW3GOa137kArLE8cXBFR6SX86OxsrTHiT13KMkxhd/Oq6uZ59MMwAOIO7vAm0Y/E4
hMmt4lGydZBhCUyL1se4bKFOpQodO3RZRvkmGpRrte6/NKCHFayQ76kf35D+/SZjNJ2hasZ8KEB2
tQSlRrxyGHdjTfaWA9oFDPj2ReRqMZLVFaiy3giL0YBM0zcrjwXvJm5s2Ow1ExAHO9aVXsUXjVrz
AC3w23pcH8YUGGQdW57oL4KV0x289G2ZuBjrMaSRZKwckC9gGYJ1TwkDZq8BTbd5hTtUtNWiT8oE
P5SinSjtsEB6j5GDmoMV3Mt/Nm9doO6UG+WnjGmx2lP+9WAAHorbY8pkomlaUUYzYANTCU154Ctz
wwQDi+DzcWPs5vMxOaiSR7lc9thOeYnR0J1dMut+XTnu7CTuf/t0bHjFTKyS5itWRHY5tHKvqQiB
g4uMlD6djvwH1QN60C84C9vctdPcMusJAb0HqNn0sl1JAkLVcoMmNL72IqJZ7qnESApgDFBBwSDf
+amMyaqTXMECm3HxRg2cPF0k2kSRDcb/x7FOlbnF7aGGkOlDy5H6/8PyToLObXfVsboRzdqILDIH
YJg1zKObiGl5HbngPkNcEdGncr1ws3GMrw9SrlcLnYkEXxxu9yRY61e5k90iFckMc0/zxhLj7zbp
9Hai+Vung2GqAkuNg6HjONtf9nXBnrEFlzxKxqYssaDWwsAFqLpMEXWkyAJzkxLTgoBxYTboxP2y
xhddEwVakQHmEoXYxBxnpYTi5V392n+39kg/feIpwB6+Y4oscHwz+G+bxlyenZnnlgQFeH+U7muC
fdNFnUWBn7EkGMsi92ZUY9OsHLSj9rXZ/TDz3p/mn5dXIrJDvXBzPRPcxo0597gzlvFaaSCd3E6J
G5fKcx2tvSAkiD4UExFmaY7yOcf5bM3nJo/cVBOVwvgWTBls1pR8lp0QqZRBAQ0wPozeau4ES1r0
ennD6IZ8CtSUvBM8adCSZPv+VkQqw6ZXw2q8N9muhtRdo+4u2+D2AKi+9F9G6DI3X8UazT6ZMAR3
QotPj9ZuClZ/Cluv+9H7i9+hPv+UvAiM8vfuwyjjCqnU28WgY8+ilylQ/GIHOu3BtRVXyl0KEql3
0mFpwstWuUnZZqWMS6jlYJkduHN8W118idwudu/VjeF2qux37eN/M8bcD+04TYpEZ+jNHFRRGkgx
NfMeSSFmM6WH0oj/o6swd8XYgoBVkmqwVUGls62trxBxscAh2AhGGT7PS9IEbLOJzFVhWZMy6xU2
0XC1d/PFvunQBfvTZwBoohWNOiRXMpiCXf09ee3RvepAqZb7ji/M96mt/30+ML557rqr1BFbI/S3
DOH8xTyOoA1yvPo6SlAjsgAjg5LTeG3ul73miiBVl88m5uzObS+Y1FLlvgEIG8HFsd+1Jt07+Y/L
TsTtOn7sNsQ8zq1UqIuVhoNz0gcK5s9alA7lyU09OrIs70GjL7DHO5egfdCp1CVmw9jigrLGdkQG
kN1kB8ieDne1V3oEJzK7LZ87zCwXwgkI7sMbQ1mwCDke8BQwniulkUOkFb0LsnPeVz/5Mj+ngQRw
Yxq5VeFSu+lO+SM5iqiDuJEPGAag2oGpwvQUE4Ri2xxKQlu6+Wt6O/vWbgGtG7Sq0Cb8XtyS23In
fS3fLu8wz22oRh+Qr2Ao+aS6YI9ZMScp2MrL6LaeHgrtqP5OBRiT05hbdBQwW7GeWWDwtTWzBcU4
2HILNA1246hKAWTPhWgu6n/sCdzaYvxznDG5r6iUq+hhCqwTWSm4im5pGeEfPFxogP5sDdhJ/Ivm
scnEnkRZOqkl+GCUGUn9XgYQZB2uHI+SZmEaCHJfMUYaj+NvpK3gB/nLrMWEmRF8DL0Ww2zcgvkE
igz/XigBQRVZBGUspUQB7Ccr+yQeqlkG8cEMxqxxHTrXmYrDZdf7DGmHFTCcAE8A8UsbVFznwaRZ
M2gp/VlimwJj1z1ptSuBYaK+gRRAgGGBsD7E6PuX91mwuNmLKJPl+T4UzjFpD2YQgA6YkGlW6TJa
NJMl6+w6ZPppk/yOkFlUI+AebLB4UwVudPZsljcpBsQrzhQYOs30o0I8rH4xuIU7+qDl8THenj4V
HhH1+njBc2uWufK1rsDIDmU/G/U6NKb1Sp/SZ8E35B24rQ0mWkZGMpCJoAAOwrrXAbOEUTgdKZA4
8yuwiAMM5SJu0lLe4BUP9pX4FHK/IsRnMXcFEkV8xnMviqLJ6ooWZW/IUPo6GqbrbIaxSNaDu5cI
YVDYU4AL/6S/1IGWSqosoDZIBlTKd6tQBImvyAKzk7E5l2qr0/TdMtxqBXhOROai8uIVXgbAG1Iu
JYyznm8V6btUj23c3tX1cIhep5v2J8gvg+gOlGSuBra1+qW8sQLnYYFXIlbXMmTBusPUBmIAE3e5
H7+FfXtDuLNLG/pasSfnpqtrz27al8vOKVgui3YoF22Wcuge+1Dk8LTk69KUEOYA+zuZvMuWuBj+
zc46zL3Ta90S5RV21lGg3BmDLH2vuOk3DLiWLrhdjAb9VS1Y9rERjqKyDPcA0KQM5LDQf9SYr9rZ
8lwqEmyv1ouRfMVdC6EWQSuSbwMAacoyhwPAHLLEoGysGmword8bkzsuT7b6XbCJ3FiCV+VfRuj3
3Lz8Sr3SlarEy2/yFkr+565XNgiilt2pECi4fehxYu9uzAT8bYwJjtMU9/aoIXAZcbp4SxFlbtlk
R6dT8Ad53pta/Qq+AgGG5DPdCb3zNmaZU55k+jgrKZoetE5N10jZN7InzFykof5EcW6yK/9QJLcN
RMk7XdGnFQN2hiEafETAw863V64onMTCCxDIClduvw/LgWg7O70yVJGEC/dwb0wxN7sy4TdktLBW
a5m3Ns2ubUTZMscjwaNyIpbGbCaIos5X0xiRac0ShodRKLyum/jQt1Mg56ogP+asZGuGbcOZGMTv
OrmC0GO2HmUzvynLVnSAeYkQCKBogdYGeyNGic/XoslDVENrocM4vu2BaO52CtIrBaVwWsyb9443
BLQVZt/l9/19uhNpsvDyEzDwgJwQOSwFTzBnocbDtWgGUAdSjukB1UOwTBu3M6YKO1ff94f2H4C2
TxB6xh0xQYaLyKZEBJ9YGCdrXWIbwu0Yi4P0+W40wTznzrv++3rSlVXvtTC/r3DzZF7pq3cg5AK7
NSiP7gmoA+gbTMT5x4kI2x/EfurEnFapncBD4jgpxrXL8j3Llt7vzZLcg8UZbESRnGnu0CazICrw
nGyzFSf/2AQ+IJnsVimxFashv1aS4datJTDBX5yuglgKqh4mi8lqLYlSrGStX8vOoUrmHxAP2xlN
8jVT195zHGD0Y1t6vBzRueuy0KGnKozgH2H8WhlbokN4A2Q8VQ/A8C9zFXWrODENTIIfFpgrY1r0
UVdWUiCLqFwA7t1hiF2nAfCV3IL/1L28Hl7M2VpjzskSTZ0xzwhrS/NuI0Or2ty1YyKwwksmzhbF
3BFN1sXJSSNJD8l1L9/InlZ68D9lbwXJba17nbwfoc15FNMMilb4KapKqzV1NppUytECEVdiELdp
Yv/yPvJqLJsV4j46D3gtXiVZp4B/ZMHMX7GbvwyJn+7RiW5xDc5efI9B0my4pmnob2WeZ8aZZx+U
3wbZqfEVxzR2s/52ilRBOkh3iQ1t4EwCuyxISOgQ6fnyeltp0zZGJKEkVNpeArGXFHbiUhW9sT/Z
OREYgXhBxRznuR1NwtUlzeD2SQ79qxq0oXpfuKu3XP8TTn7eUUOKC1gqWE3ADcK4xuwsqr2MINpr
VQzyKJUraXst7dzMvl204LKDcAIHxnhANY2KEf57urA2AbFRk05eVgnNzKTOb8yuJHupr0ToLb4V
hEMDpB3QMmG2T2/j2tHVKPft4hcA0UFdtgJH4LxAKAkZFGiRdYGngrHgqFXXWDLWMZTPjVwEttGh
L/ulTtrd5Q3jxYwzS3Stmx2TIh2MQXZZ+dpd+UpwmBSIo1vBfJzQtV92YAUI8dQSLI+7gZvlMfHd
mFNcNhqWt1QDou7P0hTM7nB87mxVTHgfK9uJpdbO/bVWg6ycvWF96sfxqsxfSPF6eQtF34o5tMoE
d8B6WgC7bkmhgwjgtVpMXzcEhJU8CO7ZopjwDuIlaVllgzL8gqLldnpJwEgfPYHVGOQY5V0kpv6j
bsbECUDIwOBGBdjB6sO4od2VdtfFVuWXizv+Kv5wdiv4/2JUtbWbEbwwKUptkYs5cwDL6uc/MVei
1wfv5XP2IxgPXaOi6qDPBYryGmle+tjf9i6BxoAKfInkva9eiR34OjyqubdcifBBnIh8ZpzxVL2Q
o87RoVxKSWX70D4YALh2oYg7gHN9nplh/HWOCgQUG51rG4RDqflHsTZuIioU8R0Ig0NI1MFcjwrm
+Vkfl85s5gGICAngQ2Tsidc9UTZsU3GjpzWgd6ZIwoe/sA+TzJ2ZLEZMZhmac/HwHtcvMVm8JlsF
iQ/3tG/WRa+7TQxr7X4sIa7a+ER2oGfwRrofYwEQfPFcLj8uH3ZeBoIv9bEg5kiYc6c7S5l3aGSl
jytoVL3yofqhXZXeuwZeRc/wktztYoAPa0EmzuuhnZlmDsIQA4yXFNhLOQQ7B0ClwAqH2RvVXupe
RM0Xbog+qTagvYNnFuP4rTMWhl0hRDvqL6NBzfk3EN1ghQTIA4NzSPTZqYXGbDGSW1k5FF9sV4o6
lFL6UJv/tUgg4FpYANh3UeMCAy+zjtXE9KHSgKjVSEq3X45RCmyh9fWyV/CuAAXPbwhoQGoJYxLn
DrjUeZLEqZL7KAe5S6GBHAktRjDJmeWXy5a4/gcGDBPqvaBDx5/OTcUQtxuUHsMepuGai1sQt7/N
ShDNU3mNd9BhjMSt8oPxC9FYnDjyLoStdSZOtRMk5CstpyTDVGaDNnKp8isu8ZCEIGMTubzIHnO3
xrORYTxw6jA7kd4auzaMfN2djxpEZgccMREWjhdItstjbthGa3OnrxLwvTWtdB+pnfozMvD2TCZJ
8ZXMcq7KIRPFfvo/ZS9ZMITJaMvJlDOA+aJZP1YNGkmdb9h3gwOY761l3k3IWYwZrEKZEVz2IJ6v
bs0xnxCj50NS10nhD5LyNHYv3ZzcdBpADuTnZUO8CKIp4DDBZD0E7NmWv5aVelwNDpI826keCjMl
j7lZDd5/s8LE4yFt+0GdLcoz21w1INEdAG2/bII364I6ExQLwfUEZpbTMMfmfjHSPo/bbkAaNPnN
MwVn5F77BYMKvygjX+OJhlV5Y2pnBhk/7JcsjqS5qE51tf5xhOxoF4Bl0yMvIu/j1fDObDGxy8rV
Nq9KHOmudlGaoEBa9HMoXMKrD0WJYWbUzO5EeRXXC8EMjJEo0G0arOiIgbQy1Zum9PMVvQ3JXZ3R
VXMZIDoRVpMen0/Ha2OJuTUdm5CFGGCmjGYNVcloyYMhQ9HH1HvRIA03wdI2tpijPK+kjcYVzrig
EFK4zhflmsKSJW9wc9Vth4CEv8VigQ/4sZXMgZ6WNAcHCG4ELCsYl9Jb9XR/+QScsCufNxHc46CW
VQC0YJxkTYHPcBIExs6foKaZB/mts3PcCoPv6aOxA3r0CGr51C3eQJ03gsTFAcVWQ/mX/fVn8SIa
ved/079/zmn0cnMgq5ko0brGuT+QNxWSQhXVRsrDy4sWGWFS15x05prOOBhSdaeRW1N/l4ggb/jM
rY7sBESzf+3rKeXbLCRP5M7pM9hQH+TOrW+7nYpBeDo3jlzSVd66vXRT0cIMfW8pQfTjt2gFIP4E
oBSF8VA3Ok8oVrLKeW4jTNdx/GuU0nunBZn25a3kXgWUWx3xE65qMQl6FQOs2A5DCbWfMbsCf9pw
DYHgRKR5yY9lqFIDhQVKJCgmn6/FNKKhtnKToszK29rxpnDep3RCNUiuqtvpUEIRVRTJuDnDxiYT
XwYlmdUuwvFLUxOsfDbYapCO7vtehurBCg4gEfxFuEomyqDhrxlTAacZcBjtHJiJea8/Fy6i6dy5
8s7cSz60yWYRLIR6wqcgsFkpE2g0o1sAMtM7YOooYGPYTwDviTkUuM6CGAM9KmTU6Cmef8QOqJtJ
a6Tc16Dl4Hwrm15wn3MP9sYAk1T2QAw2chIXoByUrzLlxWpN0D37l12ebwS0amC4QjGSBVU7Sa+q
Kgam/T6zfi3p0u8LMg5HOY9ETSCuJZvS1NGnjsaS2qZEttR5iKiUQO6WQ/++VtLVnIl0wrifhZIh
q5BIAPE8c7bUdbQyUIwDh77emDIwaomoncmxoIM5WqedPQuEKoxf9xPoC/oybX3MFb/qxHjuG1FM
550dCC5RyRwTWkif8g69iUsyFSWFCsgekKEQXthrELHwVFAmDq/1VxVjKZ6IAYL3agPhHdixKQ+3
8kmMd1wA4gc+jBb2fS3xSX1Hq0lS0L4Ds4MXm/kl1lE6QGVG+KbhLhkfDDR1EK6jigzn54koVZSS
NS6BS1XxZotvZc/arXuUDvfSQ/MIcv2dqMfOye4ov9/fJpn8tUygQ1MQlLLUfHZtDLf13V3ufF1S
QUmU4/qwQxNIHWDuT8DXkcxLV+pr7WPrr/Q5exsL7cqsE0HA4OV1oIs+yWdAJhH8eOdbOBkNUWpJ
Lvx1dMvv6d54yyFkNX4lgfVAy4HGvVAIgRNsz0wyV2aHV9oaNeiaDH72rCcelH4V33nLj5QfKvWK
760/ITefhgDCgy/CFwg9zUysh3kkdaoF0iawijArXqOkdSoF8AXPAJh5CtEr8ucYPFH9dRWgYiNy
Gd7h3xqkf7/JhMo4XjAFCfUuvBvdcnqLMaR4OSKLLDDhpXIKqHEoee/W04/KAY2dKH7x3olnm8bc
XKSIFz0dKWU8QO5xvOu9ZKfEGCDAs/ExM9zkKEo+uAdg85mYsx2PfaeNK9Qr2ijfa130AG3cl6QU
0fJwzTjQUET+hjK0wXhDbzuJ2pfQ7wQ9wg1qbL+UaHq1Mbp/+QuJzDA+EHf93EhyXvh5maDE/10a
oOAqnEbk1FtAt4+BA0wKAVXOzqlmWW0vfasVfpTHrhJfydIMicY3LXpL+l+xIehE8df0YY0JHemA
W7uz6xZVfYL254Cp2Nj4A/hvUYzi5KFny2IChlSlRWpWIPDH+O3tcK2dzqz5NQeoHALzKAeae5DM
+Uv4O9/sY32Ma7S9lCWditQeej+HHmBGt1z7ylOMTvBW4t0plPJX19GKQj7FvFMU6JRG8oI2ULY0
wUSuR2xlswCYmf789yvaGPpECeO0MwTokBCS9LooXzpwe4+mgD5FsBib8YoxnZKqsPDo6lIUvyvN
L8fncXGgZCEqaYosMW5hyGkyjDJ6PqgQuEsM6hknKAmAUyI+xtOjm70ytvvGeMIIqdqxWJC+Fdcy
JOfyo3nQwmTfhaIxBv6S0A9DhxzAAha9YBVlrEoGWhNRUx5a++egJ9cgwr5pC+WP33GFD0tMQBr1
RisGAksAfsyA7YCSyGvTvv+udb0AKMtrc+qQULcgLGVCp4st7EeovDSjNNBOI2bne9f+nmUuIIPg
C6LVvzWYVK+K3bRxZUwS4So5XF7r//h+Hz+AbvvmBm4g4xU1JsCE1XUMFAB8Ew+8ZC+LSfJ4oWq7
VObWKiUCbZVorlD1GFSX4C2pTu6wgPHaj/4gRxKYuyY0S9fWQwewfEmQCHDvaZDvQHUEM1MouTP2
m6poEmvEmUhf6TBatYsD69E6oR2yf4CN4qRykArTMBYGsmgoMzEHQ5/NYW0mvNcLKLD14bA3QiUQ
N2c4u3pmhnHWqDel3BphxqpvprS5yuVjJoGkQE+vYtETmreFZ8botbdxFkfLoMQAxJdvje66Gw75
8YS4/tJeU66HdCeaUuSc+TN7jHNGXZtkcYGuBbHBOD+8RtV1t6pAJL9dPgUiO4xrGHMedSCULf2F
lC7BHEOUHLMSaOtRRJRLPwcTLrEiZCEmsiq8RZnA3GtrN+pWDar1RT1okXJsYiK4ZXgdY6gmghiQ
spuhWciuxlLXMgYwHTmB7JWrSwXVBnf8ov2Cns+T6M3Cc8CtNebVl0yYoTNLUKlk1kF1Si+KLMyB
td7Qvc5KIihJc/Kqs6Ux6QCEW3WjoAOlyvA0FpBUBam30wkICQVG2DozyARyQ0+AauyW20bPIRsO
yvpUlLmJrDDJgKUm7ZJO+ErGcmuMnuolnl6fwC36sxFq2tfuJOkjAmHxmKrQfkcXGXN0EF9iKzpD
pcdzbWALC83DC5OO0v0VCstD+YdmuyU4lWQQaRCqW34nquLzntX4AQ4w0FRKFVNu50Eks3viVFQE
E3hVn5ZrZzfxuysKRUzQ+vxZ5W7liSIJ79xtjTKRJJZJqVoJjFrIgnSIVTSmYLSc9z1RJoOCEeCi
4LFk4n2pAiSSJiXAPLoJtJRT71aoibvmLEq5OC8ZTOB+GGIivuR0RgO6WUiHORJGk/LWsUZQxUV4
hL4PrZWGg5YU7RNyl0EGy/4qL6J5DdFSmS8oDZ1tK7GEKeCm8DIptHVMKook7ERGmC+mo8pjJDES
8lx6m4bazZaXchJ8M9FWMpGyNDvMOHZ4upfK6EbQorGU1mvMI2gUA5K+Eim8fM/wKoJn344JlmNS
2ouFqhJ8vyJuBoH02QcB8pXpJ7f5fburDwSNCwg5lnei/Fm0n0zoBJgBBPP21PjNACF2/ZisoOOw
ni4vkGsECB46k05FAZnrrcwKVStsQJn79QAU3aGEfuM6FoJt5B1mA2OkdJBacXDHnUcQa0miLm+R
oKPv6fbV6I2W5l9eCM8EapkYcwcUF+GScXGTZHUaaYjOo24Ds5y6kN7eXTbBvadNDSxByPsha8gO
HM5lUdVyifJwdW0fmxMNNi3u0bhfeCKGQt6X2RpjvkyM4fNu1mCsnSXwxWaHVT5kwhybl0htrTBB
EPK/ZAH6C61wqvQESEEcqMBK/HAw0BEa6A5nQXw3V15pCbJ77vdCAxB6wGCEV9mZGFuPe8uIcKsR
zTNN6TCpveClxN/ADwvMBiaobiOUpmjaLpWrJMh3qp9ZOwrSAt46qKwMKBYc6F6fyvqbDLusQenc
UOo2KzW8Vk28cUkFW8V7mFi080tPqYWL5Pz09NWcmwl9sf8Jbs3DCfzE4ocJ1703dtiKW6QoNgG0
Jj/BWagv5HjTeoXbHnS0KrWvgtPE3Tn0DkEN8H+kXWeP5Tay/UUCJEpU+KpwQ+c4wV+EmR6Pcs76
9e+wvc+jy+aK6zF2F16gAdctqqpYrHCOhvbA+9tlc3KkbbPeYGOu6tUAbr0guZrBvlt79oBCLGuy
lLfN50kGSymyCmsjlf2qjdS+j7suSdC2tM3O9iK9PpEFwagtq28S/USuha+FjXITLXuQol9KasOx
bg0dlQI88AqPEvcPjNdiCm/w06f+G6yE4gkmnzMRKrgRy91YaOrUoWkARqnLutslpK9zZ2P7rvX3
1RMtNaKuw3A/2FI+OvmX6vXGUgKcHW1moOxVpwHUvwyou0w9clXdFQHLSZVHULGCdxtDgIDK8FtJ
PBZpuv0FnIMPebg0kY4GcZJPh7qwnrrUdrPSkMQRUWfuQlMuRgIaoKBExxiL85zdrT4Aqm6T2wEz
jvXJftaQBr9233tZF1/0dMct42iMjRGrPx8wOqpOs3o28MEYgZNg/Z4n4ODrsUFM3OQ+Nz2MYe1/
UoFDop7FkDpA/gUKYk7Pep6byeowS6bExcmizZeZzj/2RYjOEjIQKFE8c4CFzsno7Vpr6iJF9WPA
grThlX4cu4xRwvIGf/4WXjOXkE23ixX7JZT9fePzVg2e1wU+AaDblLjzFH5LJjXY10wmgxnrRoYG
Z6DgFURTJE9O6Zq6LQCa9kUI7P3i7FjA2YhQs7F0VCvM/QJYuja9q9PZVSuJtQui1oUQLmql66SP
4QgMrY5Sj605ZNWLxeKzJfFe0bPyQhIXqOIW5cWicHL2rLwxTDc/gNYONByGz4x86j1M5kiqt+zH
c8WcC5HcTUqsAWs0BoJ/XaP+PUxutEZeHeqnUkVuTWOJikKbwAg4eGAYhhk/WrvOWLULixEVxfzJ
qlu31wb/N0xiI4Fzp6QoYjoMbCqMqn4FAuMxwsxr8bIvRfQKwkDRL0WYohvLM1YTlI4GFAEhqHYA
+9sfbDABDIsPebAeB99GmG8xM6lIDlBU+7gQzHvVCo73nJ3gfAiPJciuldQzrSADkglbamL1Weth
ABHNnB5r05N1u0Vrd5CPDgaaCxr+xxkMrUqlpRYGKrtAuac3uGqyoD6NYDru7wA4f6Qv42vuDZJA
LHT0X1J57BQ1o01q59iAWEw4RFMHWtn8zJtFUndkP/6DN2zEcDf4nOaFQiwUUUPgx8cOqg5FaVxh
mP/KIF3pRlp5bKPJnZtBEmNETZTtsfJwKva06I2y4qZho3HsEqjPGgMivh9PsY3tHDwJwMyk/FAe
ZJ14cdTZKM15jBl1YdMtqFDbr/ObfWRDeStGMxgc5BiEKKDVt6YsDgjNCBNmmH0BDoKJAZVL/0lG
p02ybirwcBzBLTEcbYSe2etgxAzzknqW6Y1/5sd6+g1L2gpm0X7juFOaGUvkYBpsLuyT1hfXffHT
bmdJFGLuzxvSVgp3ZywgkhuLLseuQndWh84bwJW9H4HY79yTwN0VVmW02hhjTK8N06d0+bSA3cbG
mjzoPSWS3tuSe6I4lx+zgQJpHN+KPGqH1c8edcDzd978OTwXnnqubr6Sw1QD3Gv1tCA7AMpl6d1W
RvEpOVKD2wGclnhWogK/wjDW29S0Hwylftw/U5kIzv1jq8TotIXYmoZHAlythiwS6xO9KNFfYjTS
DtsU5jNKczKXtGPhczyULwWIM95yt3pJXSwQ+LKgKbyktsKYvhtbp4UdRQrzbIZyAoxXP6+vAHw4
fC2AMsfwAW00vNrx5ICYW2I04qP8pSfn35XRpY6aY74nI7ehglZKLptTlUngHHkY1WhNNeTNuvXa
xYu7Rs2//VicF+dW001ahfUZ8sgYKcpDfMAkWXRWjsUBV/uPfesT3XHbr8V5NOih7VFzYBog/fEi
EBUAtVWKiCYTwvmyndVAQ1Ob0l/R34p03XN63Y0V2USZKK3c6MLf1xXtOmPAuKpv1fFB1U6R6bia
Mnr5/I2gc75/cMKH4VYa57fKpDRgn05Z3jx9Mi1gATRH2yfP9NiaLv1ETrKRA/EpgrKKogdvfBgr
A2VkSyLKHKu6DsevCcqBeP1LXEh8hr+EcN6bFO2U5xUMvA7vtYlg7yc/aO0d4+jNZLADHxVCMAK4
l8OeoI7Oly6oOubNqNAIu5+zu5ATRig9JZe94D+6LKQYEKBZQKAAAMVlPLI0zST94gDyJIvv0qwP
bLL+c8sDCRvD0EBtTrMxYHspI01GpcPztnGpsVoAjtGU+REFoPEursI58pK1LGAnVHFWyVtUpNxW
MBePtNaOad+NkV9Gg28Bwt/t9epl39KFMrBzgyoxNARVz6VybVxYRlyv4IfJu88LWHBay5FMJgum
aXCAv2R8qHkW9rokFW3cKgS4NK0STJHpbfRMB1t/xHjG+lIbcfEGCsL1JRooWp+61svacx+zGwzm
vRMs6Ra6kbw9gkCAmMDNjX29s7D4hs5ZrKwHuioOOU1qBgK/pgKS63n/eAVZqW4CMMLEyBKkf0B8
0bS5NyYtjBHwF48F/PBr8lpfM3weEIofMv8UPuVfJEJZdLpMr8DfBvJDLHYA+OUDij1AYUhnl0Xr
EitNzgtZjZO6xigdDjQ7LGv+Xdfz77nWFYcs6xV3AoD6SzGrsg0DUQgAFhte+wZraev6pW2F5oRC
sJmBN3UJn7sqvnWc2bOdSjJWKjJh9M7xdESpy9Ytzj8xHm5p9ZixyQRnoo8mKWLlkKZFWEjeckJB
QAnCZhgzoPdV1U3yYw3RMM9tCUGhoUQByE3TJ4ArjLJOnvDcMAfgGJjINQHMd3lunZEYjOO+cQ1r
dIumPQyAvUlr4u+biUwMlx2oYaGrtWY1rkbAgLXMhzIxg3guJC4gcjxcakDHttn34cnS+wjjYIap
NG5TtqAbs1Z3TtJDmiz3TafKGCJEOuFCQCOA4gWILujl0U2JaVWOAiSstQWfOAbq7Pq1Hvtv+ycn
Ugnk77A3Vq740I+K7LEcsEIY+7UzviqAHo5q45Tko5cl0+u+KJHNAXXGpGhLEWxcc/F5xk+YdWA5
+QQcZQjPivbPn68sMNoAl9MpFrT4pUctc3Sl1iBhqdMzQIgOOntuDYd9PYQf5pcUHm9FK8smzDUz
9iervsnS5mloAZ+blJ/2xYiP629l+I5ngU5YPKCT56/N/K005yUgmCOVjEIJhYBfFFkagQHw+2yl
E43pTCiuEhNNl6K/ccw8+A09bDTs0LZDEvUBZ7TOw4G0dexTYKr2k28Vb/sCBK0lfPaNBM5TaOrU
ptqn8XvDE9fSpxKl4da8Kg8Z5uIM433wdEq9FLAn5/nY39pPsqkroU1sfgI750081TPMYqfNiB0w
2ntDDgx2NHpoqfr7qoq8FegtuA4xKQ+YMi7OOZPZYegrApGyql/HZXtCfcrXnfbsYJLhd0QBpRx5
POIPf0MQxy7LpMFtj723xF2N0DMicpVW06uj2o3ERkTHh3Y1lgQBjoY9Qe6NEmbONIYkBo+3Vj91
YT+4LTDt3X61ZdAjH98NSGKw6Y4NKLRawVpz+aEaY4oca4Fa5h8KiFubp+YRS+53yLRRnn6Bpv1d
fsVob9Wn/fMUFDcuJXPfrkjTaDEjSAb/sfNGD9ppPKGrsHoM810+Wit490EeHhIq4D0xrfNhHBqo
OZ3SKZD3BcMaN/op9t/WR0weor36P4gTRZKtOE69oR1MvQshLsrdRXmoaUCCJMiO2Y0e3WoZYGOZ
WFl9VugQGyW5OyWp5ySmNaQCm80rliKIE/qokxiE3BIOWUFvgZ0nqAGQcrM9Vs7FrWTF1oAF32Oo
/db9jG5khn10lPyCKMBQHthsvMknLlpDcj2FDkJtDQjpeB9qvINYoMxZBxt6qkPhLpiKstt71Zbh
lou+IbJOwHdg8Ap5Drl0jqUy7c7SVtzQCV7UDXXpKHF0oQQDq/xIo3Qb8DiXEmw1d7SqzFu3dsL7
bMHASKpLXFwmgoslg92MIMWqWEbzFs3HJZLRjYu+BYBv/taBO6VQWxMw60EA6JJuw/STqYAAmsgy
Z6G9bcVwt9pYzmbUALbIT41gfhjAEaRehVf5s5m6SuFGf6rPpmt8WU238uv/waFlx8j+vrnRwqVv
yjjFtY0+p6dmkQ+EKF8SEkXBeKsiO+mNjDSvplFlKubn9AHEoADcZHFx6QE3naDBD2SXeAY703JS
areTVWFl35HFlo10kAwsmKltkMfV9WMUk6+KYh8zC4CD+2rK5HBXTmK3izoksBdF72+xyhwYqX6s
i/hxX4woFG4PkwvAZawq7dTjMAGWGszFl6wqjzFGJHJZl1UmiIu5BTwjJyosY1IfU/JQZN+z5Fsk
26Xbtz+NxwReWltbgcsL+4s7PzcUt1a//MaBgaYapNEM441/0ztap3dxhbSRoEXcjMXBsafe7Wf9
ax+R131ZQm02sjhvKsFFWxcLPk6rYs2x09B4f9mXIPwqoJ7FGxtUVdjYu7RmrVCbLFlwQ/TWK+bk
vDwChnIXAbhcWvlnH/hDTQbDOBjFtLD6xL9Mo6HVARte4NHg5mfysz7o1+19BGz65Wt/lb3oAGhf
rtdbcGV/l6IlimRjrcBimDYG2Bq4kDEwqOh1xkfr/ZK4AwCZrrsAKPWASymOoFK2X2rgwZuJOz1X
pTudZIm+KGRt5XNBYybq1KRIVX2a02NWfi4GfMvGjxtgpij+/icVpoxbYVzkwPuvoWSAsvn5P7TJ
mNbwqxHQsIzKU6abyIS24rgIUlemMqwjvmvYfTPJH3b4o1HMw1ouEr2YsfP2s5XDBRCHtphRXqCW
ov/pZD9zUzK2Iwi4KKHDBVCqY/CQnI0ka9ElzthFvpYMrtabB0svsewbHfY/DzsOTo0LMZwpmKaZ
9l3vRP48II+nN6t10MPHCBTMebt6A+klxyb4PBfyOGuoY1RI1RZqRWR17QEVT6ChKuGfCoa+9zWT
SeIMgRRRPgJ/r3HXQvvcox7qhr2DcvfouM5cjhJpws+FOSuMLQJJBXP/l5GLNGZiY1kq8h2sTAzl
7IXxU7fIpAiMzmJ4pP8vhf19c9tPs5Kb/Qgpo667c/WkOpK8U6YGZ3WZnqcxKfB5yunY6ti3TYg3
V5KFFpkQzuaqZdSXsIYWM3ZI4LCeEseeacgoysRiMJ4OF0JDhX/8h7WxzKWpwwBiHUMvc/11jcPv
UW7IYCuFgixsJ9soZtAP5cfQ6XQCWO/GrcPbvkdLEnsLXX/6DXMGjwnG6kDCifXgy0+vZ3hUAR2q
cYfYrsBrUXhO2r8ufX/GPLAk2ROa2UYW94GWUaunhPagqLZqr8DONVadf0MboNPrAMdhuE2cuwDL
tEStCy0oq6jB1PESjeWLGtVBFcqq6oK7DnvrjPUS64Qm+QgxVM0zWCgjv9cVIzmSabbw1EnsBAhB
7hS1aoH9wW5qtRk0aL1uSI5SdP0BqQaqoo8MIKAP8IRGOvb2kiYY2Mbwb42JEEAPPaTfCqQYcrBu
UdDbSOMTqLbpaDaveN9jsg/r+YtbppOLkh/rw0oMUmQkW1HcE7Xtu7nDREPim8CC7Yw38C7t24jI
rbYCuCeqZhWAu6U4ua7/lgGysp+J3yjSbSCZHpwpLgvmv4eOle2w6dm+oNbeuNHriFIavaq+psH0
WTphyX45f+luNePCuG3mpWkpEBlj6I+8sDZkccyvlerH5Ff/Aw6gYAAQ2Guo/KD9DhiHD52/amxo
XhdZgoTTeitv1ICVe+LOM14Mt7zrj0PoyzZohV9vI5LTsQjNpCkw0AkuK+zK5k321sc6+IwzVVbK
EHn4VjkuMka6CrhuIMz4RWP6dNQ6pEk5Ju31RXcBGTT4pWxQTaYbFx+raa7zdoBEoL6camq5IR5E
Q7hKgqRgugvlJbZfxRJBNOs4OZYR9anR9CBojFE30Q5FkGSu9T07srvTI4f2qn1UT7lHzyio7Tuf
WDYQbdiAF8rM/BtlTumc2k4D6kZMRqVY+Lx3nhn9bBbg2XI9eiXKHCseaK4cZVEwKgu9N7I5vZes
aVZFgWzlGlWUt/CIxSzwG5DKo58ZwHEfDDdLj0HETPFkdisIBxeyuQTVIFmp6TXO3FGAkqs9TZUM
oIL9es77LyRwiamuLWk+qBMoTFMQgKm1l63A9wPr21SlB8lXFFjqhSzulZLqnVNZOk5ywgy74emn
7s/QH1lVCtOB6qlCVaqS3Auimv1WJg9SlIaApYmYTLa6B7UAhuOPkVslLtuMyjN30QJZGUwU4S6E
creRZiyxHYOiyE9vVkywYiXxdj4BT8J3jsMZeL9SIGzxV0QDGKBPaNfyew7VnJUVppBwskl8XPPJ
Xa3ndooCY/y5/w3Fn/CXIO5+apY8xgAFVjmB4OyaU+EZ2PgiVuL/OzFcvA6XyamGDhThGoabYoir
eus+p/S4L0bsXr+04YJ1305NNy7MvUrbI8l4V62FRATzn4/+9UsE+3KbR5IyTFYYRQYyrkHLz4qK
B19WhZ2HdEi9BjJz/lakE2qzALb/tq+c7FNxscOOG6vPW9jErCeubvyRR7e2KWl2i6a3YOm/1OPC
Rz7ZQzIww7Nz/XYtpkfadt9oFZ71CDNxYAp/VLHP5BESxl5szZ/3VXwfDNg7XS6iWENFsqxUYfeP
5q2SH8bDgvwZHNfvmypAZl/6KwBtLweUrzBmfVUeiayJxaqAOz+BT3KTpJxDpWoADnIz37AJ6+hc
3hknOR6HKHnfnjX/hHQw+jPp3ZCA44FcsZlTxQsP5EsIzf6H7qMkpLz/mo3hDllZ16oD35iAYBsw
PCY88oJpPuQYVTsu/nysvdKLb3Mp4oMgIb3Qk4sxYaIO6JTAplgZ0vSwbTedydfhwIh30vqwyJDf
RGN4FwK5aKNGEybIpg7h+tzEnvWSn1cUunz6WYvc3HLpEZhizxjLbo9hsG/AkgDE764ra2PHU49P
qsR4IS0Pq2zxUjTJcaEbF386a87VtYGHZJ/qc3O3eBgYC4CROo7veGLmuQ2yh/4OXQHNxlIVMyXq
7yvJAs2eh3CBqKmWdtYUKLmY6rmNoyOGII51/VNNvir6LHniysyWC0g95szbOoIwMvTHxlH9xrG/
pFUWOK2snyj7eFzwWSZwRRsrRDkhNqjCxi2X8/7JSS4Pfi4qChM7jEtIaJX5CzZuHrph8h0ruTeq
IWDdw1RXJBFdcmvwM1JOhsnsqV/xfjFwuYeAf9WwZyjbPZB8JR7TqzDUTrEjBE20JfoK5baIOqAn
C02sIYCTpTi35RzLyjyS78WXeYayHOg6wBWIea3NsRuuf+5/Lomh8/MMFSA1GjVD4ELN/5mu9qnU
ooNlDNejVZ9nRXndF/df0sy/L1++CpfXpO8Jc6z3as5QYucmPRQeeMrKe7ASBuVReYkkV67MJLl4
0lZpu+bLCJO0X4fKOcaF41UmCUACGZjhFbCifu/t90tLLnzEcZerGcsFASSSoyLSedp3x+v8yTcP
ziMAzY7UI6f8aEpis8wTuEhikNHJE/beLSkmU+bRc5SHvJZUn2U2ycWQKqmVol7nxNd1ogQ9SdM7
q9KlN5zkSuWH7HsVfMdFBMvs/fZm+mRdz9ewElf/Od0jnZDE+//yYv77i/FgQ6ZZtZma4+Tiwat+
ssn24Wh8A02rV5+s1+lgf1FvUDbuj5P7rzVlJ7FJWzC7lYT9/H6Xh1cVSN8DG0/MORhXl+1Hy3be
JN/vQ8cbCahDmQuqqIGn1pUVStchZd+O/YSNRlE8O2bb4TS1Z/OYnICviKwoKG8wIuMz9NH+OmJQ
590X9QDmtrZ9h5VMeokbCr3BQUtfZaNv4E+4/BXDCKgPx4ww71k0mnndtY3e+fFSltMNevtjKLmG
xJn9Rh73hAa0cEOyHhZLNTxewPNSH2Lf9gH9241BVx6wK+CqN4Co8dB8sl+LA+KDTGfhx938Bs6W
yrQs07BEJmhYE1zfdvESfduP4TIRXK5rLqFjlgR3kqXNLh3umkWTfDiZBM58qF1F6TC3QLGK0vuQ
qC9lSCVpivhlsjkoZjwbEzXArJ467OKrfmKV8B26lTwPfgceGTBlHv/dkXE3ENjIddXO8FVI17th
BrThzP/nEnQTY78gZtAwmcgFZSXU2EU+wvbi0i2qoHWkFSKRO21E8FN7Q0+csU0gAoCj1TXoMR28
0f3qCHIoLHB7JfYIfyomyplSGjNmUXw2DjBf9O0QmdDu4hxrXdvRrti7bjyg1O9r12CnV4Ak4Ryr
Q5q5ybPMOoSqYs8Hy3YmxoL4FQJCh7mjHSqMoNZwF+DHo0xrIWTtfzNhoQ99BYeRV0IQ3/Nerc4e
ZyYmvam+0QRpQoTQrz2G993ZBjiz7OkmSva28ji/GiZsxhmZk/h1ivwDoNd2cRPOfxbKoZ6pTDlR
voztJYxVEWx7YHrq0sHGrE6nXkVW3vrrwfzUeOFDAhrL3k3ODKshDch350FmpKLIsRXKJUB1XxfG
3MBGlfpFNcAdjAH8/Y8mNI2NWpyj0XW2sXCHuGEtqJf0QKBx7rqcSqSI9TAxX6yBoeNDezfW1swq
NaZHNvhGdEhb2dyKsD+B5jEg6LDKx7DdL7/Pqplpk/YjA6nUD8ufyRUgyP0KfqXeMwguhmmRHtX+
N8hAGGHkL7ncAUZd2tCJVe+1efps0CaItUGW4ogy/o0MvsCVVv06DQZJ/HyyEpC2LhnGF7r1NC+F
eRg6u3NbM/2BmaYs2LcO4bXCkg38lzr0A+5uUk9GWOU2K0FNQffEeIB6gD6sAfHJ9T8H+2RHCeQt
VdV1Hahfl5+wt7JWVxYAXCTJZzzXMv2tMSW7riJD3IrgQm+/dkYzh3bp5ws4MYfEoyAv3T8zUaDY
iuBSljgeFLM34FFrOJ0KA77UTfpjkWCsuqKy3WeZPuyq2Vz7ipmukRM5wCuwVLecn8zqy742/8UC
fn0U9gs2EtS5UsB1A/DXv2h0NbfxiiMN1IMeLKfmtC9NFI22Z8f+vhGGjcthsgsYOq1v8+ku6Y9j
87QvQnZiXO5ipUvyF1kRQH9iVzGNU1Unv1H336rB3RXEqMelUA14Te48rqQ70lLJsCamP+/rIjsu
LualyzzEeoLjUnSs+iSRZ8dPcSa912ViuBDXOktTZmnCCJZAtzgFuk9PUeAEb+bbcH4Hf5WzN4vu
9s0R8o+dZq27rLJSxinVfFoCeqMBbzv8YdzrV/md6hsn52z5TSAzQIl18LU3ndhhq0RQlVYWgJWr
3pvS6uf+VxNH8789iq+81YmGTpOOm0qllYuswo2jp6i8WozqoGEOUY2Nw75Ayffjq25UmZCUsWq+
Y6UutV6W7LWcHn9DBpslwQofQJQtLrBiY2s2cwPfi2J+9FFPE8VXrd481WOdyEKSMMJuZHER1lCH
ekp1HR2vklyptjkfkwVQ9yvA566LRqWPfasXrqo5n7Bx/jkzq1M/N88GjVH9GIgegJdhfXQybfEA
xSiD9BNa0ObHcRG5awpQKCVD5SvWyU7fbPJ9/6CFjrH593PxuA8jIzIy+LxRPGchCerlFNpvRvK1
7Wx3X5TsnLlovBRrWbUdRPUFyCexeFqVYDS6B2SxxEBlOrEfsgn7ZqlXZcsIKFvt51ilHrAOPK28
Sgnxa7Pz97UiMrW46BzBUOu+xBfqgmxFZcw5RCcsEpaujXGv2EuulIDRoCnH6oVgXIB6+VUZzLfV
veI3/3y81jZs0KyAUMDCRBYXWWsUrpISrCc+aaOzEdlXWqalbjiHv5P2/JLDI2mlURkDsAAvpQ4A
6kfFXC0fPeHyX0rhY4CSYyq1hjY0D69NJwzMWFaKFnqXw7JDNsCGTP/SUgwT9xCe1qhrmtRf0/U1
DkFiu28g7ND557mxkcFZI2aszKyfQuRUatO6mhl9BSY1+LuGm3XtfR2wZF4zxd9HkHr9O8GcYYYd
2vN1mwDYP1mb2zQcQF1oUDS07Wm+oXMe3gI+b75BWy0618nYyzC2xbneRnMunwir2OgwHpH4UeOx
7jZ73sZAKzurPgN6lHGQyz4mZ/1At8imwRkAV19nLmMDrxYZopLwrv2lEV/kCRWjc4wMJqkADd/S
n7T4eoo/mY3t6c1NQ2X8KBKN+I1Wh/T6OoHT3MfGnd+3mpfQWFKWFV7mG424y08hhYaKG0TUFmYM
tSVwpre6rF73TVH8nN6I4a4x3JNKDlBmpLBhMH8xr3Rwaoa+Vh8bYD5jRPVoHIzTonmWvIEg05Ad
8uY2MPqFprkN0Xn7OGcUqAMvpKz8fQU5w2BQJ6grAkKMGKjDYeHrUkhKm7ycaqJ5K9ZqbTcaVcxF
12l8m6BmeBgUoz5U1jJ7U912khuc0+9dNFFtBH6NYKuNBwRc6g4bUNFUupWZof4HVvODo5NPra0E
+zpy1viXIBRQGd0s/sOT5ihZUg9V1pduRyqMpE7AATBLiTJcsPyPDFBDoUyFqp/OxSzTWNSyxBKg
q/Rqc132OUYzOyX3la7WD+04gLmDDMvXeMnJY+akhQw2iksdPsjnQpYyELvoeyC1YshZ+xNjUsAh
cKj+00kd7G+uVXgwtHD5vH+wfNv3L6kAWtCoheULx+JMtJ/RkkgLXfPSs3HF+qHWdYRi4Ihd+R6v
k/xKVjPmcpb/CATWEPYTcffxS+wryR1ajkPpmlG7HGtwLARNYpe3SjgM99TqHInpvE8ybS7BDwI5
/2/HaopzvS1d2sA99LD/WWEX6LYlZeP24Pf+EU528zNUzQRMfxqI97oq8qoBhfP9oxb5KVZcdMbm
ipUanpBuDRUg7FhQfDIz+9R3ZgsaTceqXmkLgUuoVg/aXBmunkSTJNIKTRvrVQ4FOhoYHDnTdtou
7YYBVIZdPpXXUwaA/XCysJY5V7ZPB808zE2MkfIoHp+KvCeShT8+BP/1CWwsCQPQQ8VuKJdOxVGd
VUMZEw9ZyBDEX6dPmPcOotvqywhs8AL8F91NhH/KbE3kUgiKYJABSbtFCaf3uDS0DPW8ArxVAvZo
IPWUXhOSIvPqpHOwvR5m2ZOjLlV03P/WogMHmg60Be05I1S4jMkNJnlKwCsQL+qfVnrK6+e0Oakp
knH1qM2nIpPghYkCMaDPDCxLQyzC5KU8ExSEYFfUQIxCihLN+HbFVGhetNaXvpiJLFIJXYphzGHn
CFVwLKFdilNC0s3A1NU9FaOD9Pt7cnVnAmLOkSI8iyI/fAVg5Tq+H2LGpailjY2+LLAgOg6T6mIZ
8ScNa5lr8v2edwNlfH0I/gSK8SvTelsXejhkukfvy7N9VZyixwRtrCJ0CdiA5KwegiBI8IYHgDSQ
vQDax0XddSVRNeRggPsP4ZU2ZUFXXdWJxA4FpwewLSA7ga4MUHw8ftRKynGOx1r3MGnjptUViV73
DZ1ngGAnh383yumAxFdBbMHdWum4EIBSz0Ct8YeA5C7jLFcCy5sO+pXu6UEeTKd/2LRlMjE5oMOx
APrJotqlTYxa6wASzSndfsiDZkif0w45yL5iAo/C24wwInbg1wDw/1IG6Kq7qB4gAzwaV2Oa3TRh
8xX9JUlkFty/6EegHeGw4MygCy/l5BZGuQrs8XoUO3RmDrLIEcP95r3mxScwgwARSzrVwn765YUI
kYAVRF9T1RkP4KVIUua4ep1O88Lb7E4NEIqvxlN+rR2bM1vRCj0mF9Mtkvvv44kClMUC/SsQjwBU
SbmvNgy6FtPYhmKD12U/1OUhtGV7RR/9CuEPtyjg6BkODx/wDT1HPB6V0s3aEmzzoTFqn2laqiAl
GTAufxhBuGFK9ProY5AJIHh2qCoIbDhLWaqlU6KZlG5Jrew8N+FwmPpElxiK4KMBMhW+hoKkZeFC
u/xohanmlQJkVuD3I7m/NvBhi6NT5GrsZSNRXpxxVoJpLUvZU54f+oW3MeQ5FCg0QFIB/4t72y6A
CsJLYjW85arAe9NrExegLwEoI25ZyzjzDBdzZqAUOWB4/JACC1zWOxZYDgM/RNsOuLu4Arj0QcHN
rgP01fBAlWx8qaYQ0zq2MXhxaHeP/9Ttkfm/E7eaKPR+QJHqMH2klIpRulabXNmggQly2kauEQF6
cV/Sew+Qc0O82BgyHjargSzM+QMoOBVzQZ3Z7YYJHCY90drJBd1uB4CuptQeVjzkfnZpaBMXBVHT
9BUzosDIb5368/5PEZ2vAa11G/6J5IE73ylX+zAzTWTISEwnZbl26i725jaWjQ8J3BM2hPtONTUb
NsW5StaSqlgVXBZ5Ol/Piaa5lR3dFkv/M46GWHLAQq0MA4iGlMHx8vFmIaoWOjHgpbSwBDcYGwIL
utyec3fOovh5/wgFQQCscb+Ece7plAOwfSxcF1WB7KRQ++fEUF/3ZcgU4k4vzGFFlQMZpTV5o2O6
mbGCyl4GbCqKNADnBHDMO9At7+9KVyix2haVm/VJMbkVNHtJDS1/00kTJQjdtMQbJi4qGXqiUD/k
KSwlArSByQUaGmJvIgvjym3GiLpDBKYx0q2z2xhNI4nZElEW158HGWNEldzC5wq7m9lMUU9Ik6eQ
6n/ufzKRWSAvwug+MiNA7HKetQ5Aqstn3EcFrW5zmz5myywZ+hWpshVBLi8Gux+MpTfZldebt+2S
YpM0dq7XNZeUxEW+ixc74C0xxoZww30drCJXbUggh0YPRawfrTJ2I/1b12uH/TMTK/S3IP7b1Lqd
GZMNMydjPx9RFXACtWjqhxgY3r9hBhZGbJANYdIGuJ2XZ4eULEERHKJWJfeUKQef9XxWLElrRGwE
v6RwKfJirBrNxhBXd5xlN6WOmdN2SMvj/rF9LC+AcpzFVCSseJHxiWTRz/Wa5Pg+NYaWj12NghwA
INDnLtWC4YNmR43m2bXSGPN5X7JQPwcXGJBBUS/h88kJgCetFsNv8VQLzBYtvH593RchND4gTaDq
hfQHr/nLDzU7s1GXLK8r47u1s75MVLlfFRKwctm+JFH0szaSOI9NnWUyKMv711xHZ3VIvbqeTlps
nonT1W6UFpKMQ3R6wHdGwoaBRgQ//VK1uCu6pVgweer0Q+jqzfjUFaAz29dK8MBFEof8ETAJeEsD
lv5SSorOuY6SJwqoAIlBmUDLZjSetPU7/t90p+jr6vVdmh5TGzPnxTpmvmaNlovFGsufRz29iodO
+Y2IggcwGu1ICFC14L3PtgYlWXFBk7h1lfGuL39kzf2YftrXXRRPGEYuwLrfYeTY3zdF+NSOZ4AY
DIbn5MppAi3WPJu+00oslN9T+CtNpibcDxOjyEa5+GinVC16lOdRQtAOJIi+WW/RSTspgQ78C+CD
r8EcRF7z/I/XBnjJ/LDZOqldWFNYkBGSLMiMyr7JxyWTZDhCBeHdaFiqOEkwSl6eo6E3vT2Po+GN
b4yQx0AjRT+lz+8rQu4cDEi0AF1rfo58XRJgxKJx6eCZjDcWoHUuRS/p0qvKAtHGo+qpga75Jlia
nxQsZGSvVuZ2SFbiQPPqp95TztXnfQMSBR+HoM9BGLKJxV/iqrqa7ZCUON9lfM4ARplbygjXwGu9
KVXZjJLIXLfSuPtc1fvSpgtCndkVQWSkZ6KpwTKMkrAjFGPgkfN/pJ3XctxakrVfpePcowfeTExP
xA+gDCmKlCNlbhAyFLz3ePr/g+b0OVUoRGGo6b7oUEtkYrvcuTNXrqXiTklILy4lX6Se1/REeYBL
Eieufekg5Hly4+eR+vIDCJoGbVkYWsiHLgtUvaElpTQGKhr1gj3oX+T8QxNtJEBXvChkg2S3TYKT
OS15vkOU0ijSTs7ZB3WIqIem3/Cm2dgHqzZgO0I4h3f+BRkWsgPhZFnY8DrrjSwLbxt/C6W6ZoLz
jOi5TpR1AVJtAg9FASHjrT1Y5qExPckptXaLOGplQ8+ZRwaBEKKOzzqfLE/CJRog0mwzUm+E3nsI
JP0GSKfbZuL362dnbUBkiGcqYQlQyBKuoQRN7ZslZyfyikMi6l8rA8T+/83GYu0tZqmqFdZliqN4
L6Sk2gXNbPbXrawcGNiuVK5okxtUW3pZPa3TYOjLHEq/8W0QF6OdZHS0qn737rqh1SmjIAeHPEga
Tuj56iiRmkxDXTGcuvkyKCkZFSFV3etGVkdzYmT+iNNLUUKlRp2YMxICR58eOoozhaFvOO51K0wZ
tNyShu88t9IlXRnUOXOWyXDqkGCAuHAvRdlvDeZvMwtfplpt6OUTvO3666nVO1fTaGoWUDS5Pmdr
x8YiR/Lv0SxueEPorVQ2uGuasd6HkfbNELRbau+y4/nhh+u2VmcO9KHE+VRoAVjcAlYRxIMmswkq
xfrZVNUTPFffMsX6jbODx8T/87Ijc7qszMV+52lpzt2tlZ2YOuYQitOhH7ganOsDWpm8WfYa0nKU
76FJnwd8suF607PiPMIRDIPlRuVwMKyjUeqvefBvWJq37iKvNt8A85PbIAu8vK6jQanlpGY3yBUg
UdUr3qWRmm5subXs3ZmV5QK1kaxGDeMJckX9GHtG+ckvhfp16BtGbaNx0P+UE1jgs141I9Raspoq
RR0nG4Nd2Sfkt4idKY/Rb7AERkgoa1hq1HHCpGbYCVnr21Vvefs6iY7XF3B1WuHXp0QhQ5110Zw6
BGog65xlq0hax/fFYxkRTP+GEZ33Kw+i+csXrnyAbSEUB4ZjKBF6celXLxB+XjexuhFPTCwWDoEw
w+wUdnzXZG+MKbsr/HJvNuHXFLLs66ZWp0wH2MaVjmLmEoLdJ4JPVY49AkmPqzf5g1JUG7mF1fU/
MbEYjQXnq1fNo0n0/qA3kTMY8r4epo1ttjUS5fz04lD9NDEa2DmHWrEVPf6KjNDLLwuUtf+erfkb
TjxEGElBhDcl/RcnRynKg53S5K1dBNUW4/vqaFBJm6nYACMsIShijRxAWM1BiWS5SKbupK53f2Pp
T0wsJswsxWYiY8a6QGlVAN3xt9r4Vlf+xMJiukrdp09MYxBijd6LEvT3UWBBIKdtbOK184LAG0Un
apT8ZzGSrOyyxtTZYdZU7/3BfKiH/jBE3be0KZ+uT9p8gS49N4paIm8FumUvJBYp9uoDDFrEpV2V
zKyYcf1QENkPtmzl9NopzTg+plGbWLtQmfL3lei/vP6DGwXIRjWbmgEV0vNNqCDLKoq5kdttP37Q
ezNxhoRNOLb1p+tjvdyDGLLQfSEpTP1/2Trhh7HRBL7Fozlo9ZtQz2uwIYG3sQ1XrqnZDFpo838t
bonz8RSxmHZKFegU7/Tb9jWSvZMTv9kWFb0cDk9z7gbS93OwvxyOWKiVQo51jic1t/fHuzT3Nl6s
WyaWQ1GrugoKTFAl0NCND8a2ck1xGrd41tdOlsKDlSor2EbCosWcNaNpjjqXUNNJ0V4zwjade2ea
x0q0wi1GhlVjCNaRm2LHISd3bqy0mjrQElV1jMGyxzS1BdOkne/D9d22ZgWeBd77XETzzj63kmqe
gkYI4WRsEYIY0fA+KONdSapl4wKfQ+3lEQaZYcriL1j78q1P4NVUU4kTN6Os27PDx/dp7AlupRWW
XaEvc5PGwmhblHg2CuSX22PefEBRwcDOaKFFihgRWCWCvFRzJmVyOo6TlmwR6l7Ookb7qIrT1SFC
v1DYzOQ012jQpo1CuRN0c58U9yr/89KlopEeISMZdC5Wlnn8PB/EUvc8zYml/JBa78aBDGzw4+VG
ZBCfZLPmgG6JquqKvOoHLdYcc5LdIRts5JtBWG2EjL8kXc93g0ZRhZhxJqmm4LvY3LlRWlbY1bqj
HqR9cyM8hMf8nbDP4A4DtvB2JjytXTCZjm7rN6Ubf5h2OfnE+3wPdbZbuFuZvNne8ns4BhJlCp4g
SCktjkFWin7Xc5dNeeq7yKX/yJL6C+SGul3ocYov9t3rE325K1E6PLE4n5eToMZMRakRCnyJKZap
nSndUUuMF1cAZxszEMqiOEeC7dxGELdmXXZcm4XY3cD7llcVEgfpb+zLUyvzSE9GUpJiaYCHaE4J
+w08lHtBGg+wP2w4kNUJk2Uwm9Ca89ReDEYsvcIQ5hhA0b4GyttM/Xh9QVYqIZpIagWQN46C3blw
hX4NGKshXWTXepA7nazIsU1XenmMuShvi0yGBkcdDbvya/oaB2TAB1Wuv1tTWNzkg0e/aJRpn69/
1Jpj0UkqsjEN1YTF+nxuSYmJmgmVilOVtav1d6Gm0we/EcitG5mfxLO0HomscyPTBP1vjE42dxmg
xpzkeQ3XcfviKP48EFhsE7Otyqn2PMLS4kePZnUdfpWgrH7pfGEEjwJ87RewcWEkmIpJzyyMSOr3
SPkmwVOUVhsb5fImI97lYU2xjHco+K7z6aosEP9tQyQoKZ7p2yOzd8i8Jn9VmX62F0stPtCy/DYU
LX/DbV4eASzDLz5LSIqEbYsdiq6o5BmJOr+0H8SpsEfR25i/Sz+IhdktsQ3AxyxjenmMLWZPwGOY
iNQlafY2yacHS4ngcwwRMfO8Fz9TMQjXN3Vp5KcY2/lkBnJFk6uIs2hDaT9aku2r7/JkC3V9ucNn
Kwo68PPZvig0hEJYBWbJsHyrbfdGzcVj9aTnKqnfKkmtmzKwxRVN8XKxRkmaxkbU6bipoL1vq/7B
HH3ukGpjoVa3Ah7932YWZ1bqmjEuYjY6YapsR22fOWrfvDhymqftbyOLxfGsUI20lrHktPnYTeE9
RF3x7eUnltYayGbm9w5FlPMNAN5h7KyJ504ZUbMLidKiN5A2bkzXsu2PPMtcepXZY1RazQveHk1O
RjGfvY86eD+yaPjuERHvqAmFIELjW6saX1EacBuxLpwyb5+G1H9dxeXGhbzmOk6/YuGeVH00p85P
CpuacB+huBnLb+I6SaaHmraA7r4ESObvNC2NzKOk61tSpmubxqDYhpgv79iLnCDufUDZnmOQaeAx
ek8FpxMNG1M977zzUIqZBo4KZHBOtf5aiZNwYAA7ZkQxY9R86eNY6Z5d+J1mq2b52chfHkWdG1vc
j8rYpajcBoVtiKH1uhRozZKsztxgX770isiYqAT3XCs8/y+iVSGum7gIC/wueqGFfFSD6Mk0gq/6
5B/VIt4CKF6uE/Z4quCIAUSjin1+JnIjlqPJYlSQqt0IsXAnBwBPr5+7y2XCBgV7mn7Q9b6oi0Y5
z5Vkigs7GC2RpxFcYPQm7SUNcdux2SKMWRsRXT6z9CZEZ9oytuqAypSGx4hay3RG6X7wx43xXPpd
6u86IqsWPYc8xBa+KunDCeU8xkPfGiFoHUPgOVWRU9b6xpW1NnNzImh+hEnE1wtLYZAM8IxHxQwl
/64Oo5OolqtMzedg2JIS//U2PT9MuAsgQFR60HPi8Xy+E/oh0r2o4sSmqgfxqtVJu1AKvgVapdpi
EiNhJ4jfSVbETlaHBPd9oOwCPw7eS1k9vTK6IHP8Ht17nEJFr1NABZyqvq1mItymDdK7gtTw/DAN
ePZLVRZsVRBVt8z78KAqvmxnvfZNFDr6s7r0B8KOk9Nb8RZ3x9qEygr4YpyGyvlaDFJX4r73A3xz
KBs7aZBBjHfGDzO1XjUeWMLr+35tJ0LRNQdQHDGO1/mMCkAVo8SnR9ML2+DOD/pslwdltLFHLh09
64aXRRlt7mW0FifYSkHEJRLrJvvldCj8RLpRAfrto2QAUioE0DibUTeZdt77mxWoOQ11sWnA3PGw
nvsJl0MctMivq4r5RFD0oRSst53RxNDmqvEP09P8O7VSC6c2pcDujPZWTqr3SlsJzm/MM41gBJJz
HnOZ78mnahyt1C+oplALR6g+HbeWcu3Iy8AhiB3m5kVjsZSKHBa0PmSFnRrdJ7Gm+X36HJXm598Y
yImVealP7rMyiSSjnQci0aU3VOaOs7P7HRNklXlUcA6WMVDRB6EEX2Fh6/LbxPzcG1+u//71iSLN
axLPkQtbTJRaJMiOVTm+XtXzu6oTpYOHmOMxyMPnl1uiBctUdZmOVhzX+WQFmjdMyoBvNEbAhGNf
B/tIi5+qLN5qbl/pPgGXe2JqPugn60KXyzTEcQzLQRr+bPSHsVdsmRymktMyBTaiMb6IoeDIkb8r
09TNAsv2osAuAzic1QdIJr4lqFGlw+SK8Zce5LrmbVEUr/ma00+c1+XkE3Uh8ZS87A3HHx7l5JsR
bp2ANTdDCWZW4UPe/KLDyA/GqfEFrtVOLe+zsB1BBXQBbAJIjRZ5c5OY4k3ohcfri7zmr8nk6hAd
4uAu+n5q+hnkMODcaWVwlErTs9VSORZq5EbxOLovN8Yrm+sWmAjY/8WOyry0T4HCcjaU8UlpWqdJ
kxu4gCO7bLfe12t7ikaiuVeW+h9uZeG2p1RAJWUUDSdBhxYoo3xARNHV3AF5Hd2h6yXahwfvmBmu
NtrlD1T03ksbyZiVvj8SrwT3fAg6VBdEpo0WjvB1KzRKQkcYfUZVpdgPR1j8Dt6nlleYE+ziby+e
YwpNhLhzLZqWroV/ECs1MLyYOe5qWHP6Og8eg9hS3hgN3Aa6EEz7l9vjccyaziHbxQWl66kia15Z
2GpPplC9i6YEZUfVCbe0oFZ2KpkMEs2MTGQXLQ5gTfOSlM3vLbGSn7Qmv9OncTfK3TsO5sYbYcXH
ollLko7/MKQLcFY4ZiIN1XNcEZa2QnLA7dAOn6O0Yvcb03diauH5xn7MQr1hVH3Z78chvTHV92US
HJGkePlJBxaOk4W9ibzJkpnA6tWo8NOai8OyaIMo94I10C9V3njBxi27Nn1kaPBhaFZKF0QAg5KI
ZqvjU8hAOaYm3yk1vZlERz+vz90vMPIiOGIgcz8bVTwNUPa5T07CpmmHLDSdetxJe92pHwU4LZob
6ahHdvSgf2jd9i68m+kHjK/FwaP9Nnsct26v+UQtvkKG82D2MjQqG9riKwSoTOSQ5nJbQ810r6VG
ehAq+NXL7kMkDGgdqCg4XR/5ygzLPGJ5wc5g2wumFPSTSiaFmqhXh2R6f5qjwqX4/rqR1XFxBniw
kKogmDmfXTP0gJjkDfd/47WfBC+qX4EnBUozCs1BzPrmqRHVaKsNdOWeJbMDYmZO7hDeyOdWE/Id
8sAudvI6vdGk8MHr2g2XtXLTYgLhM8rluJNliAbwU9WqiZxrlUp3UC+Hr5AO0w6t0FW7IayTY64P
2V2eBJvdoPMFd7FVDB1U7vzevOA56EI14zmkmNwH5mFyayd95nFmpx+y3fiq2m8Jda64THDjBj2L
VI10ag7ncznmHFAgbPjm6DZNvGOf7esgv5nMjVTY2prNGHMwY3PbwHKnqLnYcP8NhS3wDpHNzNGV
x+t7cYWBwIB6iIov2Xp6sM1F6DBpVdpnPmumd+TTBKUfbvpMVvak6Y2bYVCnXWFm3U3gjQT1ZtB9
MIQ6+AmEIHLxht4ulMvoUBnkfTKhn56uf93ahiJ+4phwKGc6kPN5Nvs4laVA5M6lwNQ8lZF1E8bf
fAja49hyu1r9jeN/am9e95NYtKVq0coZ9hAJp9z4zc/uUmNrs675mFMji83T+7JeDzqbp/JGquEy
d+F9aAleaqdd3da761O4uoVOpnCe4pMhyZlkxJLK+g5+/mEQhYNV1hsZ8PUBzVqHoNRJ9Sy2kGWW
vgY/wBwZwYAgWje69pB208ZAVs8cmfZ/W1lc6B2d1xGyqqSF62AXyd6uTiN3MHu72Yr0tsYz//3J
lKUwYAtSzZQF+JKcG7Cj8J5s4HHWLgHpZDiLraYg1JOi6lYAu1dMu28GBN1C/1MqD9Gd2oIuUV+o
EU923yArK7NCM8kN/uR8WFmjlHEaMay4qFzPB4XqvVDW6U8TPEFkBdoedAbOTViVPpl6oBB0ZeL7
XPzkJeP7F29nBvG3hcUtRs0wl8xQ44Q2ip0rBJHJj+sWVlb/zMJimmiSCbIgw4LhWU4T1G47aG5d
bcHhV83MOBgg3Th2eWEmJ2IcRw0vEJvJXVaC1oCWLZU3YtOV0z/rL/xlZXFosmqyBCibsBIhm6cl
xyxOP/zGfJ2YWJyWti4iUs3MV2dWH4VqKFGYHNxOMraoNNbGwq6dn9QGkd8SDzwM6LRrNYasqtkp
k+eI4u7lQzm1sNhceamllp4YXLdB9SORiteDEH4f1f7wG2Z4vtIMThGIV9z5KRnHMa/0noFMRXSs
peei7o6hstEeujpbJ0YW/oVHgZUhE8NskSZOQ/+YNfCVXh/IUq3x13knX0YXKtB2Ho+Lq2zos87y
c7Wwa54J4mTHhqN/Tfa6q9oQKj55oU3S3UT+Y1PsaeX4UJoRZ/wViPqLBECnI9oiZVjWfBGZUfOQ
9uquzLeSHSuzOFeZSHbQt2ld9F3wissyUHGFbfZKZWsqUm7my/lDDKYQPBztd1R9xEVmP8jQNepI
r9tqkx8mFZ5VfZrQrUMB5vpyrURTZ4YW3rnLQ6utm6K0pSSpXpWDZn0oG62+JZUxHYNBFV7FSV3a
tD9vwZJWVosHAa+COQ9NWWhh2U/GGuqiHm9dR60dxZDgB1oNLCRMtuCnKytG5xfFi5kwj3hk8Wg0
mDZVsFLBiQUpdsd6ihzi33qjdLFye9MbQ51zxmmy7xcD0rokVAtEKpBl9HrXCBPjcy0XrlTNm11t
ontvKoIN77QyMp78vPsBTZB/Wr6uVMsfG89qSzstxwfQ6j/1ttzSZ1kJsmia4s09N5aTW1t4QCHO
oOElULDFDC5Zu0778nU5mNptNQUtGzPNtsK6la1hAdaETIuohGLr4h6coDIRSoGoRFKMxpHC8tkQ
2Rlxbz5d3/1rQzs1NE/vSVQ3CLJSazLxYyiFPf1TQ2qrqfAWKhMqFsKwv25tbbHI7BtI3JBGoHfr
3FoCKRAcL1y8mZ99DE3lR2DlW3RdazagsjIp1BkKaNTFJhQFnqalgIuvRpEXkYc3TDd1gdam7dTI
YkdocG/0XYwHLDUe8GqW/8wt8zu02Ikb1oX+8njFOrW2mDYxGqnmzgOJpE6xdSE9TupvgCTB9J/M
22InlH7f53k7GxEzpxdB0Mr6y694QiL6PjiqNCL/ovQ82Wy5JPViXDJr+qC6svBUGvU+6jcma+3o
nBqZ/f2JEYqmehYEGFHC6W0Y3jZDfyeADnv5Tj61snCoXmEpqTZiRfY+Kt39sHk5rO6wv+dqWb4f
/VypQhUDUhXd6xJNmq2KcpMxlq4ibYHQ10IWfDYxA+S5JKqWwETNajK98LGWV7b3VtyJz0lmk4ye
9aFayxY0e/wlZShHjmi516dy5QI+tb0caTyWlKM9bOu9QlNEIz2IveKOEtrWiHQGtiJST/Hqj9et
rrqJv0e8jJv9odTKotDJGjfKewTaH0gObuU01mwAwYXhjgiGo7VwRYJgDmldYqPv0fkcDy0i7y8f
xamFhR8yhmaGOzN3XpK5Sv82QWj3uoW143RqYeF7OkOCvMtnDFMi2qH6SqsaO5reXjeyttlPjSx8
z+B7AYq9GNFFZDPDxlGqb6TgwaPcXDe0viJQ/qBgQMp3GXJJjW512eyBukj41oiaozbhRjVHmmdk
kXUFLziD5GAWsi5KVI3QjnI+Dyaod+XP6m4mwI72ltNpr8R9hubxFnXp2hLRUSTOeAmRtOtim02T
YDXT6BOjgl7yPo8hHd5i57x85kjtkmSYYdJQC5671bZqga0PGKlj2aaG6ibAsa6bWB3H3ya0Rcjf
lmMRCYGFT62KV0Nd76ciPRTdFpp8bbMRokqUSBVKl8t+YHqvIt+IWJ9CGHZq+1kLzdumeOVVW4n/
tc12amhxOKdpGsSswlBo6Y9xH7yfvN+ozMzh9l9jWZzOvGqRDEyZMrMtP9Arbo9KfxNN0kYuc81F
E9GDIpOoYUAHfb74pMd0q2jnHaalj0ObvhaS+iNxduZWInS8cfwkl+gIXd8Oq+t0YnQxfb4fm1Ge
8QK0Ji49wzfv+ircGYV0oxRitLtubG2EQJ5AAs0vGBo5zkcoKYIS6T6vQBLC+s7MG9UFsBzssjYL
76ROUo5KZtRIstfWVuPB5Th5lMFXRfcEZAa8Mc5NiwFcS+YkeE5djrZGwaQ1DwlizYaabMRfl+8z
LAFfAxsAMRi0p+eWjMqo4zJGvFtMkSkeAAe6gRf+kJLJlVLrIZSnrZfT5ZGGThmYKK03MjzY1vxF
J8GYVfqtEme8zkhO3kaV4vaBeAgU072+eltm5tU9MRMIquCpCWbqyH/0m34PydpH2G33v2MGaD6A
85n7feEDA1/Qw0DjfVvAWxaJ3y31FvqZDdahFRQHXUqkA2Y6f9J66jzYk8HkSTRaeQSqst6pt3py
DA0oqej1R68YjKou20nnhvstBudLZ3Vudd6lJ1bLTPVGQWQKzXpvFv2brlc3LvlVCzJJCDIesFIv
gbyDUpAuisUS4kAZK6E9RVsed20fgLVmx0E/BWB4scElucikdBhLu5BH+niH7JsYDz9Es94i1FoJ
mOdWMssCbcNDBoDR+XQ1o6ZHbe4BAECkOC8OebLTPqaonGuHvrMRx/Neaa3bxG5wuwUNu3RVmEYc
mbIxOPkLWFMV52UVlsxjYsW9O6Lrtkt0M0ALWj00UX/XTRKA3U0k++rcUhDViTNAxqjz8p5sEPj7
0sKPpxIhAJPCrh+9gs0vc9IokTbigDU3RYjxl6XFAQiDwfTkXiP1p6V3PAN0uwmSN1HtvwM69i7X
o4168q/m6/OIjRkFakvSgCYPEknnQ+s6r5J0GGEBzSvjHQ9h5ShYx+5DCPPkFN33udQ/DHWro/DQ
THargcO97lh+dTYsv4CO/TkkEXloLHG3PQzGUW40rCnSSPdKOPqONoTavqJ25Jien7geanauFUlV
a7c51MNiBmNKF4KM7TLEea5/z8VRpfpCqxMlGPQRkOBe+FNpagsuw7hCDTuR7iq9+jR6ub/h6C6M
kIw8HfPCyDjqfafqpFansI8dxMOOfVduZXe3jCzOqZZPZFjRDnIKDVrPLju29WZ9b+1knAxkSS6b
lZJYaD6L5/vQ1+rfR+tVa22kVlf36KmRhWsjoaFFgcFs1Tvju7qjjftT9dQ48T5xtgKvpQQgUd7M
FQebG10DM43EIiKR2sToK8v33fBJ+64F9ugMs7jpDeU+mmRsfxc70v3kSE79hnxhtRvd8FBARWn9
rDalTlcnl21I1hq0B7m787NJC0suK0IIAbw0AguIvc9omn/xh2bj2bYWhVFv+MvOwgf4Are+nNHB
PRW+IxWMzWo/Jap3n2qhteHg1m1xCYIumflTF5tyGnlT6540b5j+k9mpb6rKemWRinWF0kg3zvIK
XQeryaU7w0V+IavOZ7Cd0ikE7l/C0zCCT9HVTHvUc9OM7XIQAT6EtjX6zaGVjQKCSG+U6dW0KFu9
3KWwlXg9AlqD6nkRYPcd+KSOCqItZ5n3thjSbBcjGvTSCBfHhS4JVN8UV8GJLqKYvAhkQcmHwNXR
TqiF7I0ePgZqtx8EgqgteP/lS392k0RqLCS8B/Dgns+sFenIJatZBQGuVDuw/0S7tgr9g1WYX/Sq
2LeFejMOw2RP3tC+9Qe/tgfF7wR76hvf6QV56+a8xC3NXwSkAfyVQmiyRCE3lt6UJqSCaP+2u+Gu
vh+fh1fVMQ1tySEoOMrfwvdb8cjFbv7FhU93vW4B6IZo4nwW4JIQktgsoGitb1vvrrN4hXqPgrDF
sHQRFizsLLxSH1t1IluEBbA2Rzuv0z/qev/Ta8PeLqfwa89Mb+zZC9/zyyJQBHAh8GcuI9akU0Kg
eVgM/UCzp7I41Fp2wy2+lSi8PKMLS4t9C06vHMsJjyAIFRgL2egAtlmuPnbHvEpQkxfrQ9n0biK2
N4Yq3Fw/m1vjXLzSBkIjv1apb2WxuivS9mAl9S31qQ23t2qGfckLAFEpbVmEVFmlqpFr302l1lHH
cZfV3/1I38hVXNz481TiZWhpAK8KWvp8O6ayN9apzmDKKr2jufm9DyRnY2Os2iAPQj0QUuYLcLNS
xcmQFBYFfF2JXnuQzt0AjXq+viqrRngG4sVmjtClnpOkZUoRd3ppdxqNsGpPVT80v1+3Md80Z3Hn
PFm4SzICJCtpojufrHGou3LQeUsQaPqHot5V0ef4FcyasBBn5b2gTZZdmqrw0q6ihdnFBVgZZiUO
MFQgTsSdY7byR9PwnxVava4P7/ItfWaIV/v5+MqibSdPZjieB4q/BEVWF3L9TgsQREmlKj/KRbXr
KIlXyN7vJ5UHTYFbRto87ZzQCDNHVkr/w/WvWjsHJIghVkEjgPfj4rgVU5+kkAJx3OQflnRvFM1O
nYaNoa8bIYAHGq/N5IfnI5+aAfYAgzeN0ImPvTY4MFxB+ay8vT6W1RkmLwz3DcXWSwbvtG7bUNMa
3xVvgx9zqrt+tO5rN/saHOv3M+OO9BvOCuZXc0a48PJeZrvpgmfNNQmDI9tVKR3YjQ5V82LQHr/l
1Mxi/kolCjq/nmZGH32n1bUNjduGP1yfu5OhLGKiqVDILKrMHVUb2ES/6F+nI7xtN13qqnvrlo6d
xxerF87DgjCV5mOd/MESLlFZY4HKmVHaQcyDRfLpmFUGf1dNyWPQy5+LovmzX+E/vg//6T/nb/7H
m9T//V/8+XtejMQ38C+f//G/H4rn7H1TPT83r78W/zX/6F//dPEvX4ffq7zOfzbLf3X2Q/z+P+27
X5uvZ3/YZU3YjG/b52p891y3SfPLAF86/8v/7V/+4/nXb/kwFs//+uMrQLCMsn1Thd+bP/78q5sf
//oDYAb+8j9ODfz5t/dfU37w/yVf/fxrffkjzyiY/OsPQdH+SccKUdrcYzTj89lj/fP//JX5T84T
lwv9M3NCaw5kUZNvAn7M/CfZVKCqKqy39EsQeP3xjzpvf/2dJP6T38Wy8uvI88Ir/se/P+9spf5e
uX9kbfomD7OmZkDq+fVAkWzWOIbsDxgWxZJle3UKv65ZeqgbFZ/an/1X1N93Jvsz+djvjdvwEz0u
u5MJ+vMLTi1uGZy92kmSyfNGWj64W+1YH19FcSw5o4+O7HUjC9fI5qfWCHEMEQJByAUMoRWDVhmm
MIXfFPZJUflR+xadzVsoOTI359OHIRYQghKa1Wbk1bLLuPIFJfZ8HwLDXtOCN3DnjP0OMohwNxSj
/lEEIa46UK368YNSD43g5nmuHcVMjv1jK2UK7PYhWuc3pTaY0btezyLRFuU6PEh9nbgabFc7X+xG
J59G2QnC4ZEf0mzNEIwSKfs+L4+tMARfSNpF74pUg6QvCKKDKPnKTgoUlNTbOoQILlOHd15f6/u0
MZQjXHFp7oYiCtf084nGlzEtLTdsBmryEQnoVEjjJ9VCqQnx3+lGrOAZmNFdrXI7ARB/bRbttKcc
WQuPvRSKYKSyKrZjYYBkoO8F63UbZKJDE7D1ocq72A5p8ShvhtGT9J2k+JbviE1h7rQWvq7G9KOf
QpQiNO3XVr6bO89vkIyQRdeLequzswRYtJumReXo2vcg7ytXqTzjfiyM8IdQjtk3ZFnSY9FJ1pd6
6CbrNXRkwt2MmR/QXTGyL2WvKD/zvu6ejDiOXqe9Pzi6n43PotZkO+St9Td+GVpuKXyQBcn4GZay
BWOCJbxGfqC6K8O6fSZv4DT0YLcAF4SdFhe+it5Ujzyw2unde66x+lastfGGpnnZyaikvytNIXrj
U6x5G4SNsstiZntsis5JYBD74hkiOEfBl0bXLGRv4qVuVfd+MWTgCOJ8GFmFeBJtoZXM19009M++
xvoI3JixPQpIve2mKI+fBPpQ9r3RJSkEuIb3oei14rkZc49G36at92krpRSLze6HjzsKbSXy7yZ5
1PeaWsBMlgf9cSJMe+UXqbdLKqW/Ffy2u6HgnL5qBE12pTLOD4Pf649mI+tPWZ7PTDxxdlcFgaHu
K3lEMFGKyjdCAArWbxs4KWsTYU2ZPz9EfqkgiCemB7NJ8thWrT75DB8r8k/02AjlXjVScy/qgfRp
qhp/10fppNoC3bfRTK9WOVZX9j8FJexvAz0J35ZDWwy7LI8t046MtjtWRq4fp8DvXTHvrc+eWMqy
o0Z181gERfaoqonW2VWoqQ8DHMTcu57fOTDgSlTfqG8f1VYovvmorcM0nxT5TZ/Gpn8ooax2YOzI
Ejf2OiM/wPqcThzyQXoazDRz5UkIn2Fx4ORn4aDcqWqhPGsZap9OX4qCAxco7Btx+b728uQz593f
1ZOlubofizZ6fCq80VlJ07kqhW+0zBRokx6peTg9WY/2qGlD9i5W0+HOjMt214VS5NmSlce+rfMY
h8xACap9H2TtUa2qxGlVM7yrKQ9UD5NYFL7Nu0L/yX7Q3KkhWphbHrzeDrq6OKRyaL210HD4NoS0
q43RVCMiqnv9oVCswXDKUYTJY+w0wUcpdTDdog8RTrG6Q5vUceumbZinvNAr73s6TsEb8PxoIgtF
0GZOEijqcSwhWbXljky6U2l9/yn0+L8OvjA0e0XqLTfpLJlONdPvOaExSrAw96YcylQXGiorgZlN
t0M/0fuU1IE3OYOvCh9j3fdrt09NYd+kBstTexCqNX6g3GtRWez0XB1CJzaM8qm3IqV2OD1J7yJr
Bfo/ibXyWxjo/Y/GyIoYAFwfvxfzCseSqcpdOWXJQVFKkIoi+oX3+agFiSMqaVPZ0Lp6+S5vy8c+
hpdGs+r4q9VbwZ3lkRQBYZCXrYNcqvzFq2TlKzKp/adkssK9bpn0u6dZmDwaufqW7netJ/unC7uu
IeAclNY285s6rKO7Sg4GCW36UMocLzQLBZSwUEobmbPFzTvfVTw1UYdADZRK9FKzvc07bfS6KbEN
6JJBO/tfqmELebFqg/ozvatgYy6A8f+fuy9LbhzZ2tuKN4AOzMMrEgNJkZQoUSWpXhBSDZjnTCCB
3Ti8lH9j/qDue5uEYMJ97QeHX7o7oqLrMBM5nDznGwxovWeoAmR2NqAYVR8rZc21YVYj+nMUFxFm
79kausq8VRFBKN56od9b+puSdI6YwyYiWsOrrA1n9oqFzVtTVVMwrToo4kcyrDRIph978TifD2aO
h6lymlM1nAZjmqqNTPJOh+gypBgfQ3Pc9LhyScvLp9vJ0cqg5mSl2uC8Rtcrs2HaE9lc5qdeGlfW
2tcEDGvt76+kzd5WZjLAWUVEjDjPfUXf1T1UW9u1euFalNnrCvbsWVEM00iKuwJG2Hr0UATVP6s2
fflG03ReJKyiFgFuBRECCMg80PGxEVf+/rlN1ZcAs4w4stRRhE9VZkd7eSe69SkOCa5KbsdkYp+D
ekHMD4gzmR+hs2YEsbYWZlVJQO4F2naITWPLBYrcxvVo315uax9pVgsx4KlBxwzz16gSKfIDmH62
xN9uB5l3679M4uxYqFJVROaAgUxEaJibgrNv1wSYWtXuAPaxda8hyS501k6IT0TzrS08OyKSSmk4
uN+Z3e6okzx0sg2V4tf+WJNwp56TwTafiiOsh2G6uqaxvzKz87dbA4NqHkzLH+AjZAbFMHA/qzSW
2ynHp7w9w8vBgLYXgYiYHq7X26DjDE0AA8F6Q4QwgUVEERWTYqVRv7geoY8BsUcY3aNdfh1FCWSo
6LdqZovRqcCrI4Bf8+1xLLzYJivhf0eYrfigBqEDqhaYNKWvj0g3fb1gd9AxGTZSu4aqW5w0lP/A
W8ELH+6418MJqdChp4JgMIbfNul9lLbbNPBuj2h5zv4OMjugej1DxZ1jzsxGFeyAQXOO9dHKtM3V
b/7cYBdDmX2ZoutLVWDTl/FLk1TbcW95GZwdoHrTPwtu7VTv4Tkx0TIObEjfOFG/FVYWx7z39eU3
zL5d1NYBrRv8hs6LHvrf1o/yUdlAEvNoPiXHrLWHs7xJVm6yeePmS9DZwq8bq8yaDkF1JTNfoaE3
osdHDeFOZml0Qn4KFWGjr+5KNZFJDKe3TYUH1ub2N15aSJO4hDbhR6CuNJt9pad60uTT8dZp7mS2
mcqy3fM19s7S5rgMM5tgfRSgcqSgOJOgDlGbiWMKYOdT4HVXMZGLB+dlrNm8gvsn8aCcrh4n6uzs
obXhmg7YwV1OdCf7Zmle+ZC4lgOMivx4ezaXdsxl6NllIfRD0/EaoVmRi6RqoEBqmtT5Pwsyuxjq
UBbGXp7mUm3fecQfhDZYQTSsjGMOS6FMNkstxThqQT9Dz2hrNNKfU/V/r7b7/2DVdjLwQhvoRtk2
f6/+679fVm3/+l/+Ktuq1h+456baHkqHKCFONpd/lW019Q9QC/B2gw0QLkJIVP27bKv+gRYbsA9T
u3D6LxOf699VWxR78Xfh4YUWCsRm8Gf/pGo7LdC/kw70lEDMnRAQoM5CRBqlzut7xYg0MSgVhYMB
10YS6ZI65F7e9ca7LqjWazfo9JkrLWpJgcmtk5aUceIHyZCNtiTz+gCX4tTTOt54lSwjKSqaWvW1
gFXpVoFGHNxSNaFa45mgp/n1Z3/+bgklOEh5ztlhTSV0Om+l0RZSSXsJwfm9QwNDdPTazCFsYMEf
NeyzEGUilApx8DBDOnaJrByFPg/Pfa5YG+BXNckuJZRRSggK6SQB+XlwBfiqohHW6GVzbypx+L0y
8vBNzmskXhFP0V4fmmjYVyDIRqfAgq3ooS5NNtFqYgFI6VQfrX1oirz0QqlURjfJAkifWoAjZhCa
KpU3PenE8ZvaJKPsSZC9fkGKVCgkKYbwqenk+mfZ5XJnowP7M40qmGfjFwWWq1Y6VSPoeQp1cUch
WRqTHCr6v3kXj9Cbhq9y4Jm1GuieyNMMp50Gty+nb+QsJKoCyK4nlYN5VsTRSkBYbsvydyfGOaw+
41hikW0Jpg4l0TpJ2w7vOJ76QtfmnsZY5gldSI+m3FrcQyULpZ2iCHWTJAno3EyV6/C10YxmnwAP
MG77LFGkUzygYnNooAPxgaJeP+5GKYmpDUXxjnuqXkhQthuLOCXowA/BfagY6T3NKIP8LBjOtc34
IJ3GVAPBsIMOIHNRXjEfrMGSHyO96E5YFhEUfYygOgvQm5BtOAMLv6IgwSkfxXX0yNCIO1dtmW71
Xks+UvBUSreSc6kDKFIdXCsbq9ozYMEVg3QxFJugyCqnzgxoNFogehPLyBU0dgOL7622UX+UzNK9
ohrV0M7Q0H8yUh3Qi4xLo+qiJCsVjsCgruIOalg/gf1rqQ5sHaTekcKm9aXGSqmP+qUIsQpUONEs
NFVo5HRaa0Ue6CzwG5PUPK8fS9OKW68WcyW1QyYL+7JCgdGFI+sQw41VDrQjsvQx2nW1rp8B1DeD
o1RwUXqzolw0nHRQB+oMRmc+I3xyQg0/cMY0DHZBpJcCyl1Dj/J+WijMBayv/llZNNulYwvCBDRB
tFNa1GzHhq5kezXvwoQMQcRU1Jh41tutYvDsKddV1xzLzM81k2QddTor9XjQCzs1roIDG+N0Z/Zy
/mxilEeIQwtPYTnKr6kBkgTk8eNmAF60hLxw2Mpxaht5DZxOW9elg8aHWZx1sQtxwph9e8iMMoBe
W8xlHwHyn2FRJaYdCyz6gMOil7BO3+uNzt4wicIrjM4UF4dn73Wjprtxxa0d6m3ZXSXKqCWn+P2y
V+WY865ptzX8V7wY8rLM7uNediikXo8alTiI25pBAqmMXqlhxDDCKYfjCCXKdqs2fXiHs635hYqK
YQcV0EsJgM7photDnIAAaY1uXpbhEWJI5XnIcuoLQAmeWrWptpochq+mUKuu1hXJXsii/Ak6jYMT
6LHitgxi+07N0nwXjHnrZq3Md1Xf66egGNmhlhrsD6OqTs1YWijtSA0nKqulLXqUqbWTUoXC/FFo
gbIMYr5F94/vUlxCm8Ci3S6pGXVNoa0ngSr+rTH63tOUrPqlZ0zxKh5bEWH4gS8N17KEgOkpeBxu
3hEdrZ9yNhbBZoReHkzlWpW+CTLOVwMmsdDWMm0NfhEo5bl1kVMUtSNtq0HR0UZI2GJH+mgPY6Hs
xKge/ACQ4TPXIXUU55H4DPam4Bnj2DT3calIftIxuk2V0brLxkTd6GpAHyWNa+9BmkmnAmXOs5z3
sUcD7STreQPkUxXciZU1HFNmVa9J1PanOOjZscJ/bfS4bV9QSE69AR6Fr4WOCn9TS6kHYlDxVCno
iQnQeHrXBl3xGgGdji40NahdF6Gvc0m7h1ilvAVXxsM8Dxst7LVjz8KIGFjf30VUKW2toNldVNYW
QasIleJusB7EENVonVkeV/pXNvJqPw5F/iAFYfTeUejUVuGA069ri9G2srQ/YBLpto/N7o0VOnvI
YPJMuiLvfQaoyZsU4SHW5pb0gPJ4M03KeG7MhO0Es6oOTOoTNxfEYk9zDkRdpCY2TlWgB0Ok+wOs
BspyV/Rp6oSSnDwLZoGrMtb8Ue1dLSnaZyp14t4Sm9G3Ok22A63sT3nfi2TI1QRl5rE75lkIYdkg
ii2Ouq+eHwp1zOGjYCjjZiiY4euZZpxYJPcP+Kzfw0ITXFZD/pCNtepVYZmD2qieU8a+64ZJmsCM
7nGLgkynMojJplxq3LxR2aZs2+69FfVqQ7EYC1tKYxqjJtHIO3WAJotN6xqcP3Sbf41CEZ5ULjyI
kfkjr6mwGdpEJDRjkw9pZmlEr9nvxmTFFjkJXFMM8dBI3c8G4FPXkhoIn+Rq7UqVqh1iHNV3XZJ1
toWFlWb48EOW4BCCf+oBsumyO2addgwg6eswEwX+urUaXxGzl048lOq4BbBFfMK60x/B20J/Ep7m
LuhooiunyQeau+wODjgZ+npy7Jej1G9Qfu5JUxbiA2vGmES9ALy0kVovIOyP29Yq2JF29F3Kh+EM
x5nKIkahweJjxF12r4R5/QbtDL3fGNi5R5gWlbtoAGcAzH95fNWUMvQkPRDPLGLaRig6w431utko
FKcNCUax2fRaj4YxbNe3Ku97ByTn+A35RWDYcLdJ7guuq/s+LLUPtIlbZheNaj5LgWIIfoYVAWgq
E+R7WYHRmhXWv+IeFWDcyChLCGlUvtNBphuuTh+/q3Qn7bWwIBAs1Z4yXhUPQdrIPVyOjO+yEkF9
oQLsGEo3tQnoPavCfTFk6ZHxvn0yqZF8lLwOSIz9jkJzS8W3Er/2JS1LvJktAFNGNFe/ySxhG1Hr
Ri9tBUxoYKbHilaD0zBWPKhdOR64KYOWIVS4rjohTn5oKMn+AIF+8HIuZmS0isRTEim7Q2eb77vU
ErZBIY8bAbnfTtZL3IBIXtR9p0h8mzWR7EIbeXQiRaLH6eLf0sCsvJpSZIK1oewMbtQbNMuau6Zu
QneAtc6dIDbCTyTd+mTljepeGoHIzCXucqgd40om9Sj+AADyRS060LdqsX9HkoIuKld+C3oTErjM
gPDKDfYQsTp8QxOUE0lI7+SwCojBhn0n5IENG3lXGNq9MgSto8otDIAtzAoPeOyPhdmiV1aZjyEL
s+eEUThWj+U9G9OGMIkqj50UavsMTjxOHmBxJpUpfhSaUZMqQdvdjCB2C3dZOHtk+nshlsI3ecia
tzbT6RbtU0ZtBVcmmtrVGG1iZDGbTMS2VopR+plypj9mkjG+M9oWG+wMCsT1CDuBtocggweNROEn
zpF2awxWp9i9kNJfYaNLT4Mky4dEqeXdoMpVazMDva8aQAYSYGc8dypvXtCtS6ndVargmW2nPE5s
5yOtIc0LkrWSyd9ZE9Tf8iGJwqOBUu9mQCOoJEXItPcWOLxNFKfDU5gmJeYyDZCiBEaT5k4zFNIG
5oHsLUkCbTfIbQflPAu9OLsbleF72iBt9fB3l6804tlp0FqMH7eV+lNrKJYtWstF7wpWK7UOSDsQ
B7eU6qcR9Al0nhOTbwCqr0OiA8hp7iQeicgzzVZDWUO0hvsy6qC7LcDd6lxAqXPTSomgYMvW9FjI
YqiDMp4PrlZI+geAHNa9NsAsirBGy70xEb61VV9+KzSrKAlOMHqQ60G6g/KJZNnSSCXX1KnVY001
khd0UQR1oXDE5+VYIscILWpPjAMAA/vUZOjFjkh+5KigkK2NKU4HOIe1HMsJK9Ow3CBShiOUlyXN
hcos9KvQg08mU6Sxe9FwEz3oaLc9jHKIq6+NBfUbD6xHmOXQiNSUxy9IU0FptQwgMZyyU/RfaJ8H
v6yg1U4VjJz2ZRIXGUmsSISHE09OMRqIMU5yaAHIgBa81qzCc+ziWb8KNvp8J2uTrShObqCpNGV6
kF70biw9ajQjqrldykH50EN+7GxZVbdSnJuBqP4Mg40vTa42+Me8EF+qFUx7Q3B7m7QLPRVvQq/D
XfxQ1lHyRmnWuXqa0NCGzhZozaregPrJQXyO7Uwp+jekUvqrBNxeQgItLbzPOfj/uoIDmPJUgP5f
V3Ce/ut/lP/t4Z1l5WUV56//7V9VHPWPyVsC9XUgWxR45qIC968qjvIHsHNwtlUAzIOZpYjC/L/A
d5L1B3DS0EmBMhnWzSdm719lHFn7Q9FAIEdfTIQhCWgo/6SMM6u2qrAq11FnApMVADyA+WYVULXt
xFJjMNixAA1NS9mWpco3QV4b1BU09rzY+leoT30rNHDQK7jeCCIsbwDXCmWSbMcYTb7DpBVcmDYe
qJ7sNY85Ki+5F5LUiZ01AeZZ7fpL7NkwWde31MCEIhEO7bJ4KYxzhHz34vMv7PSluQSqAbwj0HRA
8pwFGbXECGqQmogqdQdLZEeF1++4Ed/iulhp2F4X30AGxme7DDX9+cWhEoVtUZuYalICVmQbvd7a
YguCZhfGJdHz+AQWfI6cZLWANo3h76rfX4EBwIarggZJU2Wag4vAZWuYSVsj8CCe+lpyR/17BTBL
o6uojbzens9ZafnPQaKWCRQ2ip2Ar1zHMuRQATMB85k2w7cgzD8sa03XbWldAJz5qYA2VQPn84iC
CS4PrAuub+rk0LGHNPhxexQLq8KAZBy+FoSHEWlWg9eKpg04TIxJHDa2hUxVSM9IMfx4WOP3LszX
RSRM3PV8FQEolSX2OdGa2ikh61bwtc7lvMc9fZMJuwN8N4q+oDHOvgkLc0lD3icR0Udh7Yz+m8Nf
wucf+bZ84C6YoveWY6303JZmcLLXQPtSgQL8nG7XCiOo0eDcESGKx43c4N2chYqFyWRASEHd8OH2
F/tkRs4WOWS/PyHJUDX/osttVHmWddOq6Hf5sYlt7sDLoPULp/RTwpxwNzWHRC8KbesXfVZWwi+s
yavo02e+2GKox8GXZcAWgzkuwcsYfqRnGcXp24NcizL9+UUUngWi1Je6SJqmiZ2esafAit5RU9vc
jjNLTD5PjKvhzE6MzOCCkI85PG/sDkwcmIV0G2rr9xKJNrIdO9b2H4pMfK7Ry883P4cNqqshC0Qi
6c0myQcU2v6D++RqULNzo4kgldaUuMtaap1GcfTBa31Xo3qluTbnY/85FJgGQBAJPDN4n1x/JVkZ
i7FTuATTIFQR0o+ylGAPAniuoRwtM3CsBg/TSvEKbfApHi+3v900ii/74CL6DDqQd0PDE2wT5OoD
1B8av01zirdQTRQ5SUnMBaxR83w76OJun0zEgUqA4vhcXSPrxQ4UVyxMrX9pYIreQ9VYCSBJkqzp
D2izAxNtMJhyQaELLAZYGIPEdD27TcirhAepQmCbCJtJWDUCxhrr7UddGILbKoLwmBRx5HdKh7O7
TXnhZCXe55UEGGmeq8qhDeDRJphD86tRe8ETaov6JUNhUGrV3EuzQN5nlnDuLSn24ig0HhVpMM65
MBaE6rnsdHkjvqCI0XlgCrQoVnNUBouadncRVdHkH3q0NYSRyZlb1krtosqseDUESk2b1UaxNZxk
f1cGuWDrKTcsPHitJHNB79R3EbM0W9er4QmyrCiX9EpxEEaAJYLAmnpuafIoRO3gcyShkT0q6Rpe
YGl2IXYEkRl0IuUvXOwkiXElipjdoBqALH6Qu5UkaM6M/vx+lxFmJ6U6yHKHOrxCoKl+CE7xRtqY
TkcAXFcIJYKzdrCsBpwdmkpT5UrAMCTtvtiau3wTnlJCXZRM4EvtQD1gBfGyNoWzBWqJaZlWBuKh
aAQGWkdKy7u92+bIvz/nEB8CNFMRXZE50U1OaMOqIVfg3tE5fF95zV4mk6FT5dZ7HNq+RJINMPBv
a5M5u4C+BJ4dbVE3NlmiInDWvkrBuQVFoEhXzs/F+bsY3PwAC9s4UKwphlQTXn4L1+7q+QH9ZRSz
JSgEcssbdIWJuIs32gcYGnZ01L3UsR7WGPALsfCJVLzV8I6EfbgyG01YUgbPQo7R7AP/03Nrb/nw
BHLXJb7nMCeM6zrWbFxJB0i8OsWiDnNlYH78xBFceH55yk4hUGNz+82awuDCWoRYoo5XBWRhDKSX
eH5f5iRDMlCAUDuVqCe0/11FAubfTh/h9+6mz0Zqt6WdotdJqkfs7m358o+3AsIDWQHSFiwhkeZe
hwc1nZoczWDS/Zi81dSd4iib5Gn6pqhnuQyG6jhW9BdoEGxvh/4c2cVN+zndF6E/bVYvsjEtqzXG
2RTa611GmGvukjcACxyBoD5lnwW3cWEjAicfUuyGzRqC9OtexMhxBQLUBTkLpPjXIxcAHoSqmgjZ
laBSX8seWFHIu7GpDt6e/pOhAjsiQ/AA/stzGNkAwlys6CPQA7v8GzgUn/k1kptNeqB2vE2JaidH
AxarXmDnXmKvn6pLo4XJM+TioIyCg292iicmIKtixVRiZcKmHzCvXEcm9Xx7oAtRYJ+lqjIUWTWI
kcyihHqYcQ32LyCZHHkPfr38jB75P74g8Mi/CDK7IPomLEDnwIcrIdNjvonoHN4ehTQdw7OVeRVh
tjR40IpNTjGMnkieSjJHeKQ2dS2f+qFXrukPTX/brWizvNrI4mIUwVYmqm8wPyKpC1G1kjQb4Vl4
RzFD9igRsQt/qWgyO7eHOs3Vrdiz7Y/uNDwGR8SW6w+LAymDmm1Yy26j/kM3jWm3Y05RJ8IGQIKr
zQ5yvKwF9P+xBVLhIQCXTmErj66ltQdluqlKNGHE5kBp9A9FUFsRQAk6MNV2k+14WK+kX18vVwgZ
XQSZfSsgX+ShVRCkBzFAkzcjf//HHwT6ULjyNDz6YTY++yB9ZNSpmXYaCctvEdukDI7Zxh1q1Ctr
fGG2UJoHXg4SO3hpzT9H3bQKhY+oBg/pEdByNCEluD4CsH97OAthcKkhxKfNCSpB14dsIeelVsHU
nGTKXtBNL6uOEPddy+emtTNbxQbkHnR58tGd0H7XUYCRgrNyxNG/Phj3zHACn/mwONmLqtvuRecf
S2dNi/kiIErJ1wE7cwhC9FVhVCjm9yF/HC36qFsrt8bi3P17VFgT10E0vYuq+nNUafced82+q9tt
vwrMX1jSk/kgfLchUg9c5XzyclMJaNjgE4FbS02DGOFKkjH9DV8+z98R5nBZOWgHHTxHSEL7dNv6
qa/40QYP65UD4NPj4EscPANF+B+g7Div0wJro4N72GqE/5C8iEg/aOSAvU3YLzylDTISAVpq0Xst
26KTOtK33Os31Wrl7jNluvUzZrdH0Ye6xjIMN/6W+DI0qUEk3QNrQRTP8uKj9Qo98Y3gBp4oOdRW
74Hbt9s9PXZuY3f+OtdoaR1BnQw+XCbwn+jMXK8jsIyR+xVoOjZ162j9PtZ01K5XCngLlxjEFv4O
MsudzSAQqh7nDIlM6raD8mQk0T0uAhK2IMAatfrr9sEyL7F9bsHLgNOoL7LHMui0OG4xKtmHotJ9
8pBvIOXoxMgKHMHH5Htrb5HF9YUMClqW8HVG62j2YVVt7COUrHDMnOr36Dy4vd8+h3e5Wx40mJYm
nkB+gIR6RMfzPgLq0012a6yIz+LXfHGhjQRay6QWas2fC0ylaINzDJt6A+kE8NYyVGiDh+Cc4MHi
hCR/ouRFfgDPhli73BPe1MfbM7+4nC5+wZQ8XUz8CFiOlHYCilQJCgAlHiptR4o1QutSFNTbYbEJ
wQ04tcwWLZRnxFoPMM5UgiCj9QgtNIdHP28PZeno0yEjgbIbHOqQM1wPpU2DoVI0oAGYBiRkCme/
lbf4nMTyuUrBarImn0IIfKuzyapSMe+UBtzSYafv2CHY/hhJ+iBvjO3tkSxN12Wc2XSlbcTkKEt1
UpvZHait+woHeQW09O0wS7vcgPAXblo8Zr7wqrI6UOBtjq6E1fTbytoVtWibYrHtk8EN8pUxLX0d
PFdEGXe6pnx5sgwB8JitwGXSSOW9maV3YDQ6t8ezdDNNjTY0oyf5/TmAwGraBCpLPUraWV/cQTSx
94Le6F0KHKejMUn3eB0pthFG3WOeUXnl0JyyxflmttAXxqNQm+T9Zl8t0eqs6CsZ1mWiUpp22KGb
aVZJdMBj0fKYoFZeaQzAkUAs4+P2yJcm9zL09OcXu1irB6NXRoRGiXnDZWuTd/pKWrawJs3pykHy
B+YGWHjXIRhTpEiDDReJwKZOf4rDQ2CuaV8uxoB4KV7yU3vWnOXjYSkGRShbGIbcN14wRsYO2jC4
CLCgyO0ZWwqFQ2Iy4AV64UsXGG3OThELQSamxEmUhRCcPEnSymNwMQh6zBPmEb3T+XjEtBiUGrAt
QuvCl/pw046qR414ZWst7GMouaiYGFz98GucH0sNVQcmYSzlsCnG0gkTqLx0T4BFE57LKxO3sMkm
3VuIzVhocUAq9Xod1OrICmwCmYT0cdQ2WfWU1BsxUe1e9CUOkNgKuX9hacOtEZK2aJPDtFydJedC
H0NjLsXgDAAshfSpXHtpzlEd06kOASh8ImRTk1D5NOKLzRNBwLlkBY7BurGZG73133I3dsND+To5
lOee6rV73MTeWoa7VJi4DDzPpGuckigfI7B+4A6sBezMMY64Uqrj/wYBc2ke4dGNSsok4I3q5PUo
yyIIgYWrIOviMwKh4r3iYJDPI/SJtZ3iCg/C+fYOWyhGmJOaLtb/ZIVhzI5DoVAhxRHUMulq4GKA
YDhAcWiwpUBjWzQ3V54LS3sA3fyptox2Db7p9fASncLcwEI0syzB8sB3y6EVp/w2VYgT0RV3zKWh
XQab/vxixYADJYBW0eAuQ6+sfwyjxNbjd7P7fXsGl46PSUAeVgBA8QEZdx0m7jtUc+MeSIU23gQA
Lvc5c5Jy5e5Y2tAoTyClkaFeBln36yjaQLO4ZyOaJNt/vecgSOSvfaCl2r95GWc2aXqR64YIzX0s
QOu19zla6MCC/pTtikQrZ8bilgbfEE7CoB+Ctz87ESEfo4cNwKYkOKRH0cV+3nWb7E7y6y2sPNyA
TG179BxWzsY5tuTzKLmMO1vzgK2nJioJUGPbUa/Yy78DKLTtLFd/Go+Sj2QRHGA7vddWMo+l5xMg
W8g5sN1QBJrXgykvpDjJ0WFLtupuEpc07qbC+yR7QY+ik+3+o7MLIDH4qk+3J8on16um7cpcKysd
6cAW+HtP2oR+8ASNRDKRjf+D4v6ESPt3sNnZVUi1Tjs4bBGNvo7mKY8ewaO3b2+2xTWDHAqXGyz3
0EGYXQN1DJ7jqATSZxuRbqH25KKDTiI0jWJUGwKb3cf32WGtQbp0cP0dFpo/1xM5ypZeFipwGH0R
O81gOKr2wnQT8sKpM/YrRai1YLMTpdC6BnUFjFGWwQ/XPUGonEILwKzDZux/3J7RaQnM8mGcJxC3
m3SGgRydfbURIOeSZehtG2hdVvpOgrAq5GWq2L8dZ+nLAZaM5xi6FLjH51XWqClG3ZLQwYRaUuXQ
PVCZvuQk97pjHAaP7aWd6KgbiOiuvQcXphOPDR064vCTRrtxdsxkg9hyPDOmzrNIptoUjpmPyks8
9U0+U1d0ctjzEYiwDeHKal24zZF+TQxoHHL49+xDjnLR8airFFImDWQxdnL4fHtSlz4eTmvsB8if
ThnD9bIEP6WE18bUqU34HY8lCUTh8JAP9HcUgjB7O9hC2xQXN1r30PhH3VeZJydmook5xYsKqATJ
k93w3fgRAgohuIqf3QHSO8I0IST103qb+OtEIjJGCFAh6DdfpCclCrpRAVwtaSzwcFo1edUhDXl7
eAsxIDY/yRiDbg6ju9nHolEgIDsp0C/klunTaf+hWSo7t6MsXD4qsiwUWIC6ho/BvC05ilyGFhzC
KPeRT39Mzd/EgXYP3fWJHUi25itu5Stvyvl24K8JBOKinw8skgq25ryyjfWjFlljYQrjYEepfqqi
ZCP1yrFgzVMTUb+PUiD1pbWTc3FaL+LOdl+byCBIoYBGKgAvBn5slJWDZXlgn7bTUxtikp29TPMK
Ae30rDMVAs6Gn+nZj7ZWYjtHcgldMc+S+ieNgrYWgZx3e0YXapOYUqRDIvD12ISf9/1Fgqn2nV6y
BEPrPH3XOWwDcbyMDN/4tvbxRbXvzLF2yfvg1J4re0gpvM1affRr8omLHb8ALz2IYn9tXRno6EO5
E9KqvWBz/btcnmmykqctxAB+DehUINggvz0vwQJq1kZapkLrklv2kOeTgJvN2cr6XCjhq9gP8EdH
awfSL/Mqa2nUlhV3rY7MU/LoVriPN+Wj4BVbaEyR9ARNNdI68PEluq1vayc9j24JyMSx9CZd7spZ
q7stLNyr3zNbV2KXKQmHLzwZlZF0ZWtr2ZpR7cLMXoWYJaJdVTY9evcaMUcZwrXcjswO1MKVR9fy
QHDxAlphQUhjlrswsO3bUgQRtoDkIoNOdiu8reyE6Wy8TiLwxTTccjjP8FCfZ7aWmY88TVOTKHn8
m+r3Q6/YcpoBTYpsME9sanwXY4HISejWee4UEdRAocdXR5mvg2WW848sip2cj46Yfu8hb6AFaztl
If/Ab8SzcwJ74jKZ5x9NoxUMbpnmJz7YeBLuVSK8hLuUNG5xjI69M8GEi8Nq3K939AQol2SU5Szs
Im2WYA0NZK8NHWViSKbBB4OMZ+sjERzpA5T9LT1mmi09h9L/RuSvq+s68KxOx8M47tQUgdEHdHJV
fwtAPAZh/eX2x18b3ywjpxLjcNRFmDIB5zHzY5qgwc38UP9+O9DKeOaFY5BdaBrVCJSzd6Vp7Lh/
YcoaFHnhkXY1a/M0IJJbRaEaorQud6DJXJ/a58hLCUcns6Wk+l6QtStyIbG6jjk7aqBwHFWtgpiq
H27KXfeA4vgkTu5omt16U4epIdVBfaSHteR4bU5nJ5Ah9/qgwPmHKFnkZEl/B2f2IwV//van+3oE
4XVh6FOairN9opJd3dHgGQRKWffQTObPcvZhgKZ/O8DCOAwIJUP1FQJBUyo8C0ATPWuSzCShiLdF
0LtJejRF93aQ6VfOTrmrINMoL+77LkAPDqwQE8DfhxaWUlrf2uhlEQ0cfKh4rAzpsxMxDzdB0ydT
xEnffTamDl5MamcoJt4tpj9x2PJfsa/a+blwh7vGM1dGt7CPodCPMruMyxcUgNk+VqglCUmnmqRI
gRKv75kJ2Xa6kbqc3J7GpeWOSCiWQd95Gt5sYCDIQUgOOQ1p0E/ljuj2Lt/GbuQUm+SbaQcb4VQ6
w6a+W8uB54SbKeBV5NkXZBAFUvpcMnEWgz13UE/qY0/ggeSmELL5brnAIkOmHRqrhD3FztpVsDzD
f497WsSX6wc2H3mQIPqkqlOXZ5Y/WeNzGaxZ8C7stqtRTr/jIk4GPQiZQ5iLlG2+1aT4PujWrEkX
FydqdgpAUygaoJx7HaPOi0aE9B9m0tN97ug4rrrJ7YMYvrqv/DU5xOmvm++Fy3CzIcWsqsHYQrig
jdEE/20OCrKIp5WFufiBJIj5wk8BXZM58LnNahnuBfhA2tPglkd0Ag85kc/GaWKcRa6xdaC1sLIb
5Cn9+jI0wAr+J23nths3rnXrJxJAiTreSqqjq3y2Y+dGiBOHFCmJ1ImU9PR7VP6N3XHFSKHX+vfF
Ahor3WFREsnJOcccHyJe2IDievbxSYZzQqC2xtRgNgn/LWcl75MUReVsZ67MvnzU1+VtsrLr4Xnc
edtLweFnU0bVxg0DlPOQgz17jwFMxEO3dqGcSG7q6hkmNGnSfUPL/t8f7SfC4wDI7ZNUDKEQYB9n
QSisFoUNZhJlVZmeRM/eJt7oPMin9YKPh7uw1iw3xbaB0QBst37AVfPBvf37b/jsaI8SnBJIl+Bh
I4/+8UkP6C5SpaYQl2c4IF5xS/wlbkfvQfEyAk+DVyzf/j7mJ3fEX3Bb3GpclOKgyvs4ZlUOwzg1
iDphM+NCsNI/nRK+cOzdhlDU34SPYz4eysOphhV9A4EE0WnzNF+quf+5fPCGfXQ0wlED+urzGNQg
402oRApR1jCaHaXESARdcjr++ff5fj4Qrhk4hVG9Oj+zHAPMa6cxRoyo32le+ijIcU/O/z7Knxsc
poO54HFCTon798eHGkuhE1rGBUJO+uDiqjBF/9IdFCfFxyHOViVMHRK4yEVggVQLnCNInTlL7sN6
J4Zp/oUt4M81+HGss28kIhzGGARjxfVwq+kwo+N0wKXQXamu+PeaYAwWoSiM+3x8csn/+Ow0G4a4
kQkmFmGtsW0VNhem8+nb+W2Es3tHgDaxhjp4O56vQFstwFbgsrwwyKfPDLWjk5AIBefzelhoB3CC
YSiYYZokaxvPTUca1llH4M4zGje6EI39GfudHts/451+z29nKjzs/pdh87++wF+hnwdR8qkg/HHE
wRVe2bX4KrTLkd5R30KLyndlvv/7tXQiJaA8dJrd+UEOpAkMKj3uZELBmElJ8UgBS/kPxoBDPkQp
Idh/9OyQcTugJ2HB6GRWjY+BCIHqQtvRhU3hs60HTYD/b5CzN1R3Y9KAhlNkYnJuWrrmtFj7fnjh
u/vs4/59lLPlQ0r46cYKU2nh/ANzCXoX9/xfF64hwvttJmcLSMCGhkULxgjqYFMGTdqOzt0Qry6q
Nj5bRL8PdPaJEW5JHy94ZD38XAKudmO8qWBsE+Ea/199Aef6ECgPEkEKjMQjuSt9stal+/LfDXF2
KHSzSdr69NSGTqyicLyWEeAwfx/j828Mtf7gpEYFTvrjmuQqqOtYCAfN7OolBLXP6fW3FpZI/90w
Z4fP2PUgowZImEHjrjK/mIFKD7OiiOcLA33+Nf8zH/pxPoEeGHxlMZ9w6GjqluVO6FFfWJifDgI3
9f/LFT7fqiO0BftALDnoQgGacu4XkUG61P9rFRd0QchPozCFYh9inI9TaZbeVOj4c7IkAl+UwbeJ
9qnn/0sMx69d+fdhznYZzpyw5CBJZLp3bgT5nvj7ioQXMu6fHTbJSU1CPHjlQKf1cS6BqUpfdxgE
7nk2B/kjeu09nbsdjBqYP4jrYtGXHEo+0TmdhFUnuTou5n/e/2eY1wZjxxnY6OV1e91n01X4+F1B
ilF9vSj9OH3BHy89HwY770OceAveywQme/SgyxSSu029CQ/2JdmfIPCXFNyffYG/TY2eLdt5oGM5
nKbmBOFt6TtHrlZ/X7HnkPn/+S7+eXrn6j44okT2/xdk/pPL+cene7asZTyHZpkxXxPt2p/j88lu
Xm3KjPb3Nvcgrbn0gD85SE6o+VMDPpxogeD9+MH+V7j5T9JH4BQQlKRcCOX+TD3AbGjRRVuiO7a5
aaLtvEI3603wJd75N2GSdtfJkV/HPK0PPl8NFztePjkCPox+tgE40lEedTC6cGc0Qsji1ZfJVzb9
BzdmTNNFzQJK3uhPwaOECBrtsgWCJtxWgUETObsbHvQDg9DlcFAGlTAUVuD9t4IhaS4vCh8/neg/
45/rHhG7j4szYPwguHcXm1H6OIpLJ90n5fAPszy3BRjmIBSjwihmTddKIwWyCr4A+YBLuQUfrUqL
q2DMB5nz/aV03Ocf0m8zPDtm3brrPNmdZgjHmO5xKdLiud7DdxVwi/7Ybec1PGj1Vg4IKVGTvzT+
J7sSXjByPqCUId47v4nNVVuHposdWPICG20aOBdDhPL3femTnAeeL8X/4PAG2c158VaZZPE0cZyM
ffN+zt9wfqzCXB2Q44z2cF3fOhdlYJ+09H8c8ix8naWNu6jBkHafPIhHhusfGsyTFXyTvw3PkM2m
l5/lJ00fHwc9OzIT3Dp9R2NQsp9XJ4mPv5vXMJq/+vdbHbAHUMDAPAAlPby7j1tdlCxDHFiH51FL
s8l5FSHsfl0ndcdLefI/ogAETLjchtCw4gr4RzZSwYnKoWrieQiL4d5pbsPyiftmPTnwIo1f//6h
/LHaT4OhlcyP0GuCO9rZEQmT3oH3oUQOfi4eesWPSQLL10RdqOGd3v2Hcx/DoASNqzQwsjguz4aB
BE0MUIOwvK5kLtnNEq1pcccSnlbdko3evwSToPX543hnS/x/BW3/P4MA3Y2QDV/EH9rc/wSu/cde
cZrHb0OcnTodryOfa/C7o6r/MrMh7aLkwq3zV3b7/N0EbgSvHD9AdvS8M8a4appYHLLcM513BGDT
XHvWViAiDGwcNy70X3WZxaHy3L3Hg95+qeiIxUYh+8sH0WkoZ8um3isl/SZfSrhoRKVXhoCDTl4B
GUVVfa+RCwUaNgySORVc+E/oUZ9fI1pB1szKLi/LwXkBkrvelkXBMqZbuNeZ0QI00Bd+smshs9vV
sCC9LU0xv4XztFx0IvhsKaCGeDLY9PFOz1e4gDEzfPgL4A++w1RXP0ZXaFOL7mHhfwPCDf1G0vrh
chHY+2xpoDaKtmCwTk53mY8bS0nJCAEH4zmPRQOKhlbLdzL15sqC+rBvCHqGfK2Lb/jZ5hWqqjiF
3rbU6ewOxXp2xiDXqsTBBZelR0uKFweSuWxpSPDDEiXqdOxNuC2Xpudp4xXwleJFCIRWbMhtHYzi
GHa6rPOxHdjaE2W9Z0Ahv/37TQbRIaqZpxYYcl5f+U9h95++wN+GOS2m33J1NnSHRPq4nZNgObQG
/liw9vLVpbL9p8OgIwKJM2ycf5gfBFAItejJRPMwel5mb9smTeZUl07wz1Y+dmY0Gp5aMxEsfJzM
rMK4j9wFXdWll4YtgNhm9fe38umXd+rH+OXNdJLwfByCOMQUZPF5vkRsQF7YamcfUBYBcTKjVgta
Qzjv4KM2dNnUTfACpXL5SVopYWepVG3TAFFxRnTl7vq6jdZlwetUFfZrfyr4BFMX5MJzOexDe+8G
GZo6i2Fw9eyPLNnJoYx2oI2xdzaM1V2gsd9M0opu+/dJfnaY/j7Hsw00lMU0loXHc7Teb2TzBcgJ
BM8rDmvRrrrwQE/P63wjBbfMheUbuECQRX18nrYMI5VATJov3WqGLtbE+knDJv/vM7o0ylnEIypa
+HU/cgjHvHXPYRiZSFifu7v/aphzbCuVJJGiNTw3Acy6KwJTOiBiQWf4+zB/3CBxwCEmgG11QpAk
/vWN/rZmsRk3TdkWPId3cJkuSOwj47E3pnyGnVB74QVdGuzs0TlVXdWqYGXelN/Q6xwueVX0dwwl
YZUbfakc//loEGdDHody+fnGzmID9gRJeK4T8+SMQ0pK3Fphx8KK4UJ49flQEfr9UByDvvgsvErg
zwvRMSaGyv0Vb0DhAEd6icna4eGFF+b6v7wdzr9zkLkgJ0DFHIWY06/57Z0ZH5KlEUSWvBYWldSa
FaA799AXwkpx2wWz3NZ+vw+FJ1axPwLhInucWeZ96Pw76zQ2Rf/PYFJi1HtIKn7fh2341netwf4A
uJPqSn0FsNB8w6QTbTwdwhQsjGEp0Sn/Wpqivl7gwb9xxBIddUvrrwrl1tS3ZQt3aSUPdOL9DQq+
4/PU2jp3kQN6lQEATlnttESk41A1+TSDLpaSahgOHTBTr3E/wsnTC2axgt9MmbqV1wBRO/dkMzft
lLWiFOigkaEDi8rKcQ0A1l3dFfBFdsjTUHLXeTKwIbUb5fdoYPKjBRdMZt9AF/GdRwm0VrFti15n
Ue3Uea08L43mKtqIMkJQtNgg3EJMKMosWArSlPjbJ/N17AVgTxk1SDsegVvQ8QoekG5KlnFcWQSl
xzZGpDR3Kjl2cx0+UhWQq7lr9a20pjgOQtg8kXBgJVzzvddo9Sp1UO2At+EAU1XzV7zKQiHKqmDO
Z2ZyiCNcPQJdQgIHlOdBQD2+D3VXHWIgILeDx+kqngEtowMA527rDqsl6Su44k+G7UAy0ihajfcc
Hre3vlOau1BHMOIfqviuONU64TudfPVlShhc0JJWZA5gZFmihDyEbu8dFhhdbmawnXaD8r2fS2Bn
GPMGZXTjMFxNTA+ds+mAAxJ1XD1G00hytHJDO4DT64eDS2i1hVxsCXLjyTiNx3gEyhILEbgsB33K
BbyLUw7z4pXtInF0mqnGT4nYozdFFvOkzYoYOqa0CKos4C7LvHAKIYqK5hcWiVs7hQNgJ43JQqXj
o6QtAYvB8+583OKzEXXvm8qrdbp4EXAMxhHPBHWJTHjA4Mi4Dn8WBPfHYvJk5rRdveIyHPZeDzxT
qhPELLhTcnNQvmI3uqTxnE5ICb+5GtjWDgacRxEC/owWbdCoZg7vXqdS4Y22bjmmCbFiAyi1XnUN
hSjHid9F0mHigzhxTwBYkTwYH7XU4ZrBnCb1RIyPA10VKeUq3NYDWG5LXAQ/mkAHOSgPzpXhtj8Y
7lVrOpeAUCE1BBxc1awnExV7UH7iFWtdtXYWuWwMwq8s0J75Mkv5VYwTvvAyjlfEcqBDpUO+BAkO
kmmcxysnmO01yk8UEDk94Qo4LN1X31I0CSW2KNZjMdqs1mK5n5Yp+GkGovICoQKweDbaVAzruhrQ
uOMVY3hdmY5etb6O7jCjaRsvCHXj4VhLab4ADtWtpHXJytXh4GRKF/WR2hC6M/AFN23SJbmLNQrU
CgX51x9Kuu+rym4qWo9OOqt5StsI+hHALrzkdqmaIywGDz35CQ8sdE3oYSG7sqbhLobtgM5Q5iA3
sXHtPp7wTOL5tOIhjXlHJ8Yg0s6LkKloKLL6qMmCzBeCGGLR0JOZxcxbC61hbq0N7hWWfK7iaFl5
JUGSfFn8Gx10OB87NeZtEUO7OXTejH3CmdKmrnXmVqBQQYvTfTO9A7JfTT2ovo122RNYJ/a5Lz11
0IUEBqaKUfn1sIu99aQyd3ouwhUXxbzS8LF3cqpr6PC82c/HgE9PUTMtI3TwvMO9QXlf424JWGpH
OVBA6WeZe9UQrpZ5gooomADohY03u/JCGcNVkUIZtrQr/GyLwqbwc+7pZAuHWvD4iqbOVTBHKQfI
BI750r9TtPX3IZB/NYB/M+xC2na8x/jVV1WW4uDNQq/pQuonEGWCFZuTdlMlgM7AXyR+Ccmkb8T4
A1RBdeDEmq1fbjsaNDpb4JeXU4/fEq8M0toosZ5YoLcMyYq09fscbfpQHw1htTX4CFgaN7F3zXz+
02jyM54aqDMksCmcw8KiiKJxVcXUy/theowCfQhF7adtVUdf5dhND5EJF8C4vVivhtCSvQqmICUi
aHIJUPhxitBfAE/68iZSi9oD3kY3kWin/RTPKouCFqeC9PPClPBYwBm8jcZy2df9QFaRQyTOxASM
jYFVKXqdw+vJ6epb5sXVsZF0upUjsILZ4MJpDLtVt2ESXrwjabytsjyEDMprzVUAj+khM2Fls2oq
jUhb9NO88GkevlN/kDeRy8ITfhC+IGk4OeNP7QzurfUh31czLX6UAxhDaeOSJCXzFOBsxW29TB3r
tAfEc7E9ytKFt6QT++nceteciYcAb8dxOT1WopAg3lUAYe142xW5z0j3CCwkvSmq2vvFMMrwqjvc
+ccmD6oFLTUzv3W78sbBEfTStHxB0kDAFGAYQ7BtJ1PfzJLcho2Gt6TQ8HAfnbgCFJ3Jao8OahyS
PZMnKqh/r0LmN1kMAsxd2zujm/o+XCIX8E32fjKip2euvduOS/nYlF7wNHX+ti9A3YRTn5cFEum5
NNFKPLmVnu6QDxQknwm/8SVIfFxr8wRz0/59mnxdpA1riwcvtGLKyrCr7voS5M0havwHIML4t773
sHP7IAgGfo+9cdbrofH7dV8G8mdkJv+mqSuk+ftkS3XVpQiWqxdAOT2dOkuQPFqUS14DHpa4vynx
LLXrP3E6noiFos2GiQwuhH1A5ORiXJovYCIFt7jQ2a23eO8uB+cyhSv1IPIyHKqjz6biiSFNA38j
KQIPXOSJ4tmalmfNZMS6mnhxNdWhuqpcgdOr8aKv5RLKu9HVbEyntmdIFVE2gjtISGphXrtlcy/v
ROvBtan2x6/glX0L5BL02bJwkIN5H18PlPnXRJL23evuChMjLAgiw49xvExriR+ehoOaV3SZcd9c
wvq68kQVrZhCd4UDHBqOTN77dx5fO1rM+wIm21sHTMhVOyjs15zyrOZttV1cCFb9atcNg/fcI3XC
8HPZKMV1iwzYegzYgtOqb94cTZZjrUD7BNKs2pCk7o/Q49TPAaPjd9mhcZTAQTv1JWhV0vFXRQDv
mJN1yoE1JgTRrrTPcelWWyEVIp94Xg64Pk8rQ624gxcx9iLd6H0ggZmKBMUH3PezBJmrBJqNKvSk
uKO/57WVm8Rtoy6FMGDYJKQuD3HrJ9lwQjoZghDISG9ei5bAYCSGQbzEKf5Sga2KpiKnXWFfFbdm
Dhh4lriFPcyjn3zvELog0Oi712kISUraGatRx8GcMYOHWyMWfvQqX6yh96uuQU+Kjr7f++uwhU0i
Ph6orIB3pJljnnm1Re6jOmocjneUzfzoOcAndFHegr4Gep8HMqw7RXi4jcFB66bUHW2qJtOBuwSX
F572U1Reqbir7pmppke/n5u9mgq8n8apUM5XIvfhPHOD84ZQYJli/ykeEcH3c41t2ld9dd+DB/OE
yjK7NmTsbtFxrLAbL7LesY47W4fNCNBmhVAEXfEhIq9IA3JaOTlR+IvYSOcFEKi2uo/lAJCSCKoN
8CvVhuGN5hYN/PteNsOONL1dA5UZr9TEkhSyKg0imqO3OD7pikn8BVbCGi8ldRJf97GZUum2/M63
Ec1ib4Tfp4TExokpvwNeBT5VYwKndcjyazA1uhemjMgso9M2APESZxe8FtMp0rDsBaFuw9APe2Rs
wJPrgX/bBh1269RJwt0CO4VNA3OvLZ8jlk1DTF9AQ6tepxF6K9NTvutdWuyGEXIMUUz8wMvK5Gyx
bGfwvtxo6FbGneWRwbP9qS685L40SbeK7PLccveW9TNoHzEO114VazUE086ldRwhHBvogwfKYtZH
cfkN9MrxJYHBU0p4H60XM+ncNBgGFDWSbHFPk++AP9YPnuB6FVgAHsN2EhtY5g77tkMKLzuZcu5C
f/keDV59FY9dvLGFV21iF9706RSAPcpYOx2aQgZBRjt3gsK21MGbMdN+9B0Pp9JCkT5NfP7UdKLO
LSu6jV7k+ABYVQJKHt6sARspwp1xmd7UwArgmLEScUzj2/MDxyKTSmmupoXmPro/XtDEStMxKXCY
0QGdvCkSQ+WwidqT3+ZUGXQKQghwPViQWoNyQserhzJmgVTqOnTeO/WjMcNKzUuS1y6PUwlO7M+i
XoqHqNhxsQHrNTOFXY8loHvze0Wfi26RWTXCYo96T4seoem/R2Y2QVQUlSiPGmE02HeKqJ+h29Zv
ISLUGPb8nL33zJF6xQRz91PtDjeqbkK0HZO5vuqmJLwLW+FeLW33re6BuUX6aFBgndCxeltaEt/4
IGPeQcn97Kiy3wgqxI0XaA6CWQmhQ0b5UN4tXDqpxL0HchvuhyPgm4hWEQ9HCPkhKCFpM1C9c1sJ
d42SJHtfuf51hH+8MtC2/oQuERZ6oU04JIEKNNass078FsVJfd+WpIxzdITPiBKTRB7Grmz7PXoZ
sJ+LsO6fkOyiR7xT3BX6NkrUqse9dtUHYsHadZKGrVgP3mrm08J7JbFy2m0faHrkfFYko03r46Ia
1TOcAdAi9xizZraZzxChpsmJLJmaKrYryMDw8gtOtjI2Ac4NFXlfQY3GGhnRuCjq0PbZGEWGYbmP
2H5m/P+bmotm44GrnVwRmEHCT0Xhco7dewiQoohF0eEDEgv4ow06a8UyMoSutFCw/+71YtIuSX4k
rFzYKrZEfHOwsdSp2+KanfZupBww8IYpzjlKniTtlvZIOtI+yCYpEij5Ji1XDSl0vxYTXMdgENni
fPKDstUZiptzue2talowrV2Ne3qPnx0HDfvBxsSqtfVnrAnlIJZJ40XO5QZHS1FnZKYwhrGNsu/S
dpiH8vRCkRDUicpY2YhxjWS5nbJFo/6bstBZtr2Ca/XpEyFVDi9Uc8+iBgjliJZVcB8nokf8ChfL
dxJhh8Sta7rCGSRb9HCBuQM0lOXrcESsfwvVR9+ki2h8LA3V0HZrWyviG7bgnF3ZOZYMr7Gea3zx
sRxzHPOxszUWkI9MBad/p7eCgVeOIPc6CIvy1fiV3LVB4aRxoe1acngTpQPtkMEaYF8HZhgCGouE
QkeCLAGTYUzLySKj3ZEaKSBfoms+I3XLnz1o/298gm4b/EWnWkMsi1uNbQK1tK4d+jWxHa3WAYPp
PPDti72lHGkZxKTUhTFEMvYs7b3QeeS8LWEMA8M/gWw5wx3A4UCPU1WACa4U1twqbjRaYNgg8TXN
cFhn6KRVfoVtt2I/+pEaeyD4OnMgIN1h0yLXQbbLMBPkOD2zXDn+BMGVlePA1xZQqjfbu4hrqO2m
K0VPZ5b0OT4EP7CPKqnKJfN6WEI+1zV1PFzRJfsxkiHpX6znR+loS+8JdwkisS/ZsdjIMMAVa6qH
XRd3Hl68wgLfScgkV/gCKjwPuTgd4oLauQ/0MoKSXS3L3uDsp7lDqPY2ywjwUl5GETuoXmAjocK4
+9b28hk8ZbSfz1UBwLMF3NxZAzxmeU4RNEFB4k0jHpsbiB+YHm6UzdA1GvSknt87wEUfGtQ+6BpW
dfQ1nhB45H5Ui2vX78J+102Aq+ZRovGjG6dBBOB6SIN0xYDNxDSdKzMXAnO+noa2ui10jOqImeYE
dcm2InUqtGnheubbd4sN4b1HeufB8RzvFWfr9GaUe/oAmWU/IhfYbFzGSXxcINo4BSE+FlGH3OKy
TQCHD3PUUIhJBQyrnxgj6kiqaH7uJkQkywjeax4pgt9K2WTfVRuGsC2HE2wuQ4kwaGnwXymX4nfA
8mRZ+dwiaEm4h5zoALBx1S+4DJVBS+C6P5X1ofYYzlBURb4M9TzdtNi6earDqr7yK9qu0W8Vu2lZ
KhbgcxuKp9jaBnx6Spsv0+SwzYA8NFiOBjbjqem74R4tB4hl8DEkD8iHoaUpkRVaAAov6K8iboEX
Hnv0oXfD9NDzSGB5xzOCNNiCQa/J5umnLMD7zMNaHroGEOBUCB/mxU5Tf+vqcMzROJ7sEGZivxUT
tmaFrFReaz88gCEd4+1Vib8dake9idby78Rx7HuEZZhHkI3tAhBMYcWiGLrPfVrlrSX8UI0uBEBF
2XvgfbvLdTza6dmdivnKD8sTiN4ASkwacTWjSH0PY734qCZabfpSJ4fFjzSkraNdJwL/tATDfTU2
OAwQJmXcVGACE7bATb61a+WGCPsqhnZe427qfsmHkBf7xSHloRBoBPTwJmAtpwbYGeGAX8+g0TIc
pX6Mc2iGsYpEV2YZde5xUsI9GJao1GvLZ+XXLnJgyFx0kHemPkcOW+JeDblog9sNEoG7SpAfKHzw
V6Gcr2D4oWlVgQ+K14N8eQy+UDqgu3qLfHsH5Zw1u7qJ5Ca0k3sUnXPfcxCIm3lh1y6OuV0RQJde
Rf4DH+mb9toYNG/pT/g7FrWOxsE7FK1s9kzYaR3qCSx5FH3yLpji7xYYXtwTank1MC8XsZ/1FgdI
i6a8KxnAhQ7+i8uL79TRPiSU7TykxFNCx1MEPrcbHjCgvSYTrJveHzZD7/IH4ndQFhsFwHBHzG5A
wm9dVYAtyPgnxSkQFreoosL6ZB73uOQg/daUKqOC9luE0e/a43XGA+0/jPByvSO42GZzAhZ0YqIm
d+YEHF8O1Q1pNXuefELXPRrrHxM78yvXoSBBl/X85HlOstFYe+jjMY5Np6SFb0TMryh1bJOBiakg
2+D4g6ISK2gY8K6mre8WHgJ18ZXCE+9LVcsnBSrxpkAEeZht/IrdCYlZ8J6RMkJqZY3Nyq5nD8m4
BMjmiJn+69zGEXJqi9jUcbikUe3O10biPbjWl1dLU+MWjkN3jT3dW0+wasQtyxPfIx7LzTxOCoD1
xdmETiHuhNI5Ma9hsjhrIfZwUUtW2Ge7o9d1dhNQOQAfTYEcZ7W/o2iQWiGrPN60PW5kVURhph31
I2L++iiTU+5sAeHD1fgge/ywWoZYDVzjSMiQ8PRX4IfD/M3U9tVNuO/BwKSTbzNoy9sRVg657AKV
D2QEqnPp3Wsel9XeK0qfIaelHRzSld7Moi33DnoPtwnp52xupvkZuSx6hU7tOJurxT4z4yH2h5Hp
3siCHLs2dNfxArkR99kMO0evxj2rAVuJ6UkdB0n5EY0E9raH3OcBJrXm1cHHvu7nmaYimIObAAyt
1KsrULsVGMJZlcjgyhpJj3pw4m3Aely1tf7WLUABi86QFe6c8xbfNtYjqZtt3yUL0pJu8JY4IUPu
GecaCiJzm3aB012ryiSoavkoBfCmfClc4T94fPg24Q/XUejg4HWh9XifGx7jBoJYZjeJKMpoG/3w
/MXuxmh21lK302aBhPRurIHrGBpR30rm8cybjI9Eklyw21Tq4JNivu6ArM5HRParAujNKxx1YwY7
qQhvp2u2VeCojfGFXMXMDAcDtfNGKliHpTgX5UFQji5qY+e8tCWUt02B1jXfrQAlnU3/A+kHZInV
gDvAMFts6HAHhpNMS/BdINRlt1XRBeuyh71xMluCLZgiJ2ibLgMr+nsz1/F+mlSwdxOhXjxQv/Oo
0zKnFWHZbKZgX4Gp/DgnqMFZ+J73RENtSNogEy0KVcYM/rPTdziTHF0tbB1p0r2gIxapylPlYO+M
vFsDSB+ujK1wx+w0DtBBXmzq+FMXiRI3utHgMAX3EQ9uwh/LpUMSDojCa563q3E1Hfrr+X266rZ1
mcKGGFJM7618uKQx/UwkgJj7RM9AHwEKwx/H7JSaC79seW61voOJ9KvjxBsZoer09/L9n+4qp8n5
BEJlmLOiH+9M8yAqZQ3pG5hI7MQtyqZ1m5XbdjMPeXBdgmWJrYFP0J7PWweIy0tSnM9EMr+PfvZo
x7g1OCrUqcT+nU2bmV3yHbwwwC/56W+l7qbsJEohmF5HUDHs3dSwx78/wUsjnJXuoZ4pRq/TKLkC
ijyg66P+/vcB/jQ/+PiKfjWA/DYHgysta0+vSPir6Xbcouq9L/bVAxqRnTpl7+QhTP2XJUxVrmHl
f+kdfaZN+O0dncsLG06cDl2b0Ld1ZDXVLyiibPj0raic9d8neulJnv78t3kWM3ycucCT1AHPiGS5
bC71Gl6ay2nZ/TZEDceOyiMYwpI74d3W8k2W39ilNqBPF+8/a8o901eUcTeTscRX7dDhOFZ05Qu6
0TW/+/vzujTMmaIZ0XYZhAuG8d3+WIjn0JlyF4m2v49y6a2cbRDomnSR+TstUd7nFWqDmrz8ByOg
bTLBDnQSZ59tAkLBbt6n2F8dZ8r0tItRxv37CJ8voX+GON8G2NhRhRoAbpxptfN+ogJ51d2wVZHP
r8NePsLPOJ+vlmOZ92+XkFWffnJo1oRCF1Zv6NX9+MlpFTrjYjB00X8LUXotfrROuF6aOf/7HD8d
B9231IVVgB+e6w0jt6cI9QXPgXJfncSTSWwB4proa2Wmp7+P9enzTFD0hjMhxFU4HD9OaoTNNJJ1
GGzIGy8du7S96uEGM+z+D3tnthw3kmXbX0nLd6gxD21dZXZjDgbnUdQLjCIpwOGYHI756++CMm+l
pExL3ernepQ4gBEBuB8/Z+29612xr/pDeF9vpw3zx+GOkevw0zy6v7opv73+D0tFBAQyGhPXN5z3
SH7Jf5bQ8mfbC9bcby/ww0LhZVHtmy0XWJydyl38WO44rjMX2sk9fUB36+/q/QAXQslyHPftRXj7
M1vePwv7fvgbflhGzLRTnt3xN+RHNuZgt4RLk9vdrwj62PzcBvhn7+kPy0nrK6v2PC7HHPg4u8lL
GA2Hv79v/uIeXUwsMCpyoM4IEfn+tqkpnX2z0ckmofEcdksAbrky4nfDyX7yNPzF2vjtlaIf6idX
zaJpba5UWN3anaZtqV+TzP+Jk+TPrvLD3i/mQouo5yoLvmO1/i6gAu78ZPf3b9tffDLfvZgfxBAS
yj61Cy5TDntixzcoMX5yhb98IaS74ChsYTb6IzpvK1+EdqqSTbT0iMpxHUP1Tf3/5kP55io/LIXV
1DtTXHOVkaRaFkaapOkaPvEnq/1f3mXfXOaHu4z0GyOHkUFnqM+6+LyPoIDiB8P4We38lx/LH9f5
0dduGI0c42xeTu8w16puzejflUb7DkYSARZsNgg0IQrfPy5NEDYmpAnWyjlCs7Czn8IgeXe89Cef
y1++kADxMAoff5GrfH8d5Mmp1+qe+yvpNkFID6x1qvu/v4f/LGhbXgwgLQ4+5pJU88OzAvHcCc9r
gfvP0rfFRF0/RJd6U76kB323OIH+DID+6RV/eGzm2rF6C8hmI8DCis0n/2VenK6OfbFxd9EZxkEP
PzNu/8t3kmolMhmX+zy037+TU2/Vg1he5EBHsSjPk+h/ISvADp7hZYDC9M9q7yTG478e6SiG4V1S
EK4y9r89Pv/1Ov538l5d/wYC63/+D/9+reqpEchyfvjnPy8EDIGuvrT/s/zYv77t+x/651X9Xt7R
ZntvL17qH7/zux/k9/9+/c1L+/LdP7YEpbTTTffeTLfvusvbrxfhL12+8//3i7+8f/0t91P9/o9f
X94KUW6Ebhvx2v76+5eOb//4lfKSe+C/vr3A71+9fCn4wd9+pq1+2b2/vTcv+Z9/9v1Ft//4lUbN
B2zYyOPl2SR7A/OCX39hNvD1S+EHvMDIc13Ef9jiOixyZdW0KT9meR9Q0GAXhtEqGS7BEtqhKyY2
y9f8D/RJPWq3aPlkyYr49f/9nd99ZH98hL+UXXFdibLV//jV/TH7bDl9hIGNkIEEAXIa/rQBTs1M
z8Ij1bqxmgSMwR/s17FnbE/Hqx/UW10WUXBpFcEe0Og8Dr39XNk7y9GnIgFpkh63bjDVmzx/boJh
h53T0UzCU6HGXVlVt3MGd12K7SDap1mq12ZEMGEgis1l/a7D7KyIkR4Yxc0AFrv26cl6FmFztr9r
nYY4dpqhWDDuzGh4Jhp+P8Xpo5gV2uHwWubzeZv0CCOceVN10XVXezfpWGybNNr1Q7EvY8cEijLO
/RE4zha7IucszHD63ZPxXWI4hzKc8ITtzH1rR8+Dsmg3on3j7nE6945RyWXrZVuVunsdiINLsr0d
55zUgCJsRq9lfBaoPFppP9hDej6nblkweonPeGdADKrd9D7UF61/b8tgaxmEh3WPeQs9jHRr5czN
vlS0Alq1loxwGYkfioz/i9zLJmnGle/InTd1D6WZnuJmqDZd1a0Q3mlaz1nXr930kwPk7rtnMNUb
N1Qrw2DGLMytYgszRbcrjXaVDF+m6WHO4OqAYg3tHRPlbhrI9SqazgKGrVabHl0m+ez2m2p+CYsU
m3IgiL46usq7SbKPmkOIU8/H2ZoI58xWrnVW5nSBk9vaHJjoPyVi3Amv2jd8nMElY/aVToJ1ZjYr
Qj3XY38R4JsNOSMbzPh5rV2QbLMmXQjsfW0ze+mNdamemwH2edgW+qqb3hLPXpvDbZc+pu3dJL8Y
FDNVQH/U+ZRqeJuMMNpbup2qjQ6zQQKmH5/5bYh6NtsSYsR8e4rWqRrvgG62oZk9xxbhGDI/EIBy
Psbqok/cjQsjwxQ63ek4vCp8cegb74hj3pNM6+tk9m4nMRzEQGSxgJyL+ATb+DFOPJjk8lLH6QWo
8t5yvP2Ikg9pibezdHjkiTrmot+JFFg4J5Rzai59t993Ub6rZbwX9rSJF8meLlo+OPPK7ognG0m/
lZKb1AxhWtItb8BDbXPsrJhNzn5IgrUzrqdBrUs739KsfhNhtmNaggAJ9NmKxvPCnVGpmftIFmql
YpWDsuDdP8ZXuePQWtfQTvG66JMEdj/9SNjGReJGh9hSYpVX9SHNi3TPvhysIuxizcR5BP57FDJ7
ddoQKjw3KsBg7xa5Ki3NOtomoTpNZr33spinTzwBgAbHMeqOVue9qlRze2t/O/nFi80wf9s2slpn
X2cJDEPAPb27sJ1eK89Yh7lYWKFgbRrD41yovF65QVbJVel2HYm6iRsHT9HQq3k7eDK0oBqU3X4y
hBv2e7r5h1BP3V5H6jXqW701JIqVsInyYwmnvi6E/4qnhLGyzT67LFT4Vs7yfhzsfF0oWaOdNDnC
ddkRhkRw2nDLlW1kxWe76QXpdW1/m9XzfcG8etVJdRqnhllmM8MOpI+sPLsmsbdD6RzwSd540UfH
u6keZZNvchkQ/8qw3p9JzkJqYU08+l6BFUILTC9bFlG9BVBcN25+DUq003gGbMrI+iL7Njvm0jn2
Yt7WQaw3joSMcONDMvbHeDAuBtvbCiMpAU3Q7JXG1p2ju8awTsaEcW2XuSdvIA7AGjBZEKO9sVL9
HNjVhfSHC9F6B4Sw+6kaN1U5f4kwBVtjD0vHX/kbxwugU+e3Eolv7UXHKPKOXb8I1BOfgX55N5ji
4HP8C4vmHie4vV/GT3kb7QZKjVViyVVlHqwcNtmXlzroLpK+aRDlIBSAez6knbvvg/owT3O4iqzw
NZvacyZOp9EOP+fCukkE8A24+phFR7ciV6Ccnz2rzbdR7vhbP0mvjMrBS7N2IkyzmJuTqJJa2wgt
20XZeMBcTW7cBUFx4c21u/m61/+n7vnVCZAz/l3hcyHKF/3LnppH6G+Lnt9/8Peqx4k+4K4YBAjm
cTdgueBg9XvV41kfTHLEsYkjJelrHMA3VY/7wYa1sunuLeo2sLw/qh7b/kAWIQbTJAItZRRdq3+j
6kGJTH39jbLNJZoU80oMCvgTl5TKH06Y/VhGzVS69toO0i7bmFEsKmZuumxfQxIi2fMncmhDdOFx
784hMxxo7DRAjTPoIV43oyFdNG/Q3NKYOuB8CO9uYb3BuJgdOl8x8NxmXd3OCyJuCbt/aESR5Tc2
5pzzup2r6gIw98byjcDYTguSDtgtVhhGN9aq8iBmzhk2wnLoaJbuyq/naJunwBQXdhd/brIOocsC
zqdx3XZrZ+HqS2d8cuNMLRRalD/4on5gAHbRNWIM3vw6GeWNtxD+iRvo5oiyp4140VZbrh1fFOZx
LPos3xZANdHJD0sPNANtkrhxS22W2yBrhLzq57i4qqayGp8rEc/z+QQJ+uZhRhTQdRqFJiA+bdx6
gygmuQ4io0JOP1sNlv+k8EFV9VmVrg360eU2jR3YEzftEv8BQYOsVlljq2CD2CzFqhA8HWFj0vb1
JqszcyK/h+yTCytSwSXYpO8AIyC/eBgpboW1y9nXWn/l+aFUO0eItNgWsGxQ91xFvKEpjOU6MMha
3cqyqB89N/Fvxs5P202X5Gm+7s3Widc+H5K7sv2EoXVggW7betAXSlsaF6s2mc9iwyiNTeEE+Yg8
TxTdTuWVqo+jamAWddxU9tFpHIkDizPZ4VEOLg430h7je8uYo3jDHFiqrYtE6nbsuspYAbcAgQKu
1Hg3WewjkFt9HR/sAgwHcGKw63ylwnFewEUtOJfOJVPclbIbx9jDG0ftgWCb0eOw5/v5sfU4T27m
OLDMlVWCS2+VJyPykEg/T3ehaWRi0wJ1RViQYqyy5mruo9lP2tiMMbYEayfWPbi4VPNJZxPC+ko0
ZbgTRTRk146zQBNO3aTHKkUFsZ58oZ+SIkysLxlCdjpbNApu+gCXalb3YmxWSTdDjOWBjPQ6Tuqw
vSx00KJf07qv2a7wQrtlr4oBqo0uma7rQBXjfUmWZ7PRuFOcIcbu8x3+9YY8yrikUwPcqa19GpSa
NuvYlV9MU+XvXVLadzIi4H1TRWLCk6YYgm4zAu0hj8ADz3uFGHSvozQeXhAwTS8uGqwYdtXpnQ0H
CrfddaOOkY0G3VDuZw+j2NMQFIojj4ZDPozsN/VN4fYceUQ+FtNtIrq8Q4VokG3nzSeR2E6LkLE1
9bq2w7R+cGhlgUpIh3n4BOL04khLbEdnsl7wzGSI4flRc2HYUVXta6P3+7ehbjFspDL0P/Eqg2k/
qwKIHRKguokhi1ZiatuHMCrL4FFOqt/ENlihj/tmdp9JNDFb104gwL2xvx0c5EfwrQYQGtoP69FR
XfOxm6xRbOp6keT0HfckVr+nbJjKfdcZ4m4gyBSpkDA6+aZDKPFVJ8x03mmbxRRzT2QHT6k/etEq
LVx7JuQDMcllD7h+QmzmmFB0fJyrKG3DYmvyy4o1mJzrrOcpKuObKJ98VKlxgxIm8cphO5i9uRdR
ReQLwqX+5M5mjSdHO0OsmFV7lwVxa+56UrFRu7lW9Y5GpbTAf6equQFrmsSmExPoHP4EdXkqpmEi
fFeY4WUKAH+VDl7pHSUtK+cg0tmyzlwXrhhMEvXDWohIvRVFsUAOBiAp1SwuQBu/t7322GmVTvsa
zfBw9MncKtAtOpmberw42VmQBVnjGptgQM17RAZjhzijxG521tjW5NxLNbXdqbRLwfkRiiZFfjAs
nLCb0KAtLIMTINEGMA8Nx4r6ycY8tV3ZuqMrsGqK1g0e0tCyQIMFuU6X1piMH1WF6Pg6AmGuT06U
LD4OudUMcGtzF63yrrY+u0SxnfAdn6mWuYPUjZta9ae+nLz5qvKDaV6DZfX5qizbat6EdpkQmJLQ
dtu3sjWim8ZVZrhys9brETXWYbhOQYyrQzZkLKhVOoTpsa6JJqPyyhxnO9VKFc52lMiZtuh32/Sh
gBebNzXgbr41Wq80bu3JITYmz3B+PgsrEbXHIC3G6aDrZRvMrLVjoyvlk0/UobZncztZTIw6Kc5g
8a7MUJ5BfdbmY5U4Qm+svkFVs7ChtbMjcKIX53mRPbah0sMFIbb1cERX7G+SosN/HF63tJzLCYnT
uS7MLSYZQI9deswEbjvbWkDJbhyF3GNjewhkkaSG4lGGXrr0REb3k0hjsZaqHi7DEY/IdUCO2id4
ko0q4yDdVVkconWuyi66Qekn3wY57XqXOIsVJ47cO587j5hSt1sI2KG3wH1lZXfFE74VPBxaamBU
FyX3ldtNGimN2bLoXJVZNlY8dbbojka3QMJfQXV2sowYjMZK1V6SqYT+PmrRtgFsZ2ZyhIOFRk0G
lXPOCDUMq6E1h0jIdz9YzdEE2o1bOF8Nw24hVAuEEGGXAUsNkTZOuu75X7vgCHQ+KtQt27JIxvt+
BLOfp2AYzvtiTE0miI44ZebAn96JTpRyzS0O3tgFjX8psmaKzmRWzp/UnCYw+NRi9RpcPdsC983Q
sghcj9CbPucjYxh2iR7pwNIXdbSEFPXsC6KuKQqioWDbMkTRy6MFDvsWswaedVmO/atd+pI7sU1u
JOeD8mSQs/LFSRx1XyazCHfgVx0b7hgdc9jmmrGx+YLK8GPiOtm1Vm3Ie1ZF6VllDyHOW7NNg6hH
hUA83LXtO4+twCXTQuPDJlVsGBWZFwUxWaeyGCxvp1wjLva2lzRQriXRZ8YJ7TZlQTZ2iJ76aRXT
wNpmLZqtBu+eXLq7vO9QLDUdBC1tlHG+doec16/YdVP/3Nb0eZRFCojT7en0s1pDqabBfIlKgx7d
wHQxNzEFMoqXNgl5eBbvmy7M6pXSxWVVoZB3PQWDaNmPbY4pfTH7b22XXo7ueJ4o524MIVKPgzOg
iPOc2HgxozK6iyfTjrezFrgD5bq7pQSPz7Ncw/Y7nKXvk2rQznYw+vy2KmKJnX9WG+XWinM1bbCM
8ttz/GGjPbBstti2I7ghHGpo5MnxAZzTiSckTfFr7e1qValK2m/abC9t9NCxDQRoaMVRfwDPi+ib
mPXnzJ70+UCs1Wqw5+cMxHbfGLbFaCvAj8K2d9IYXwv6Dmt7EXStiVXGwjC0bymuPP3CBBHkJYqc
i6qcPoapfjeSmVYPR8QX16vOBKYUN+NYGKtmGoY9JoFzeZdJBR0eDsrxryu3Y5lO8LyAedSTcXJB
JZuVbBaA3KyCqgHIHrIXFHa8O53J7uqyvRL7bTpoFMzGZuUgDiKWtBPyRbBSFF21qQzEaWHu8eS7
ScDmk33Vjbluv7TxBI+kK8V431An8tQatcjp6BHBLpFYhlD4shh4eFErDw2gY17o26bLcVcLGkPo
nZtVfbONELvQF9SOF72qMgo+TmlPkwi/L2PLyAVU1Z0Kttdkqpc90ElZYsaQ3tyWxZyNTYOzfq5T
6RlnZTstemg/EquR5iTSQgUb2pvVneXSvLAGX1672gm+CGVit5BUwaEoKm/NE0nOTF2brxW2QtXK
mXK6NGxND0GYDtsgpcabdL8qElMfg657L6q5WA/cMbu4GwPrrC5ttcZjYks13UZn6Rj2DGXspHFu
EIuPBY97mGmw7An3Ruq2KDsbIvoeGysfdXLSfljX+zaw0jdVhGJY0VSbvig/yaJtZJuyW4EQD9Fe
Z6yqlwPZr2fZKOP6iCa3FytQysA5SseE5J87S48neGAxbqTibLs1MBsiIK8yRbabvVqqFURjmJzV
OWdQbDski2yi2/jKYiwwre3eH6JbN51PvfQsubxMtB3YLkDacZziW1DLLKqapBwa96rhHJPiBurE
SXERyHq07lBJSL3j2UfRIwdkUwfnq9IH1bBVHSV9veyFwB30CRxVMCqxEsWyQm0sPk+z23lQycnk
3Xu96eXbpjG7edcIDzmCrFFe0p5PFw1HFrgPSGHK8jZEL1PeYEohmgd8JrwEJniyBoVwYhFduSJB
HtN+VWQNM0z6ynErHt/G7szwxc6ILD2vC7RkBytkm7iMdV6mB4YBBB8UjYEDPa+HwT4H9M7aWabk
Q+kiCqKb/KtQjSVNPsfOSEcraUzD+uJZCN/EIoFr9GgVHzNXjz7S/nabFslaOzkmM0XqZuXnLsmU
2hv+UpEnrckfO3zV/3kpB+QrOg/t50zOw7SluRe0T45ui5NoLS/cKSX8gZb2wIbTJlWkKGZkTTKT
6cQF8vfWuXOQkpnX1UBQHoEm1XRKDPjxnWYqC7qO712xoZ1Q1BuyEyLOy245r60RGfM2XoSgzP+9
fjeMIUXg3FjcTsbk2/M2iBTCnthB2BUYhYOGruNNWnOynHmiUfmifovKBo/YDCni1nW7RZMV+3q8
jNw8PXZfpbfIpLESzxBELx3HLPNpT5hEgHDSrfkDAgfDnWSYqvp+RFzP7Z51wUeYXOmsUzvNSGia
vEltG3/u/Csi4gNNZFjnPaB2ESiDnaNapNQ2UrAHN+inL0Y5hc9sUnawYc45j5ucRsR0KXNEFuus
Nmn4jig467lJ6o1dM1EG7GfWsbLtORYnbG3Q9fynMddOy0DSwqfw7/py/6d4oV/y8l1P7ref+b0l
5zE1JN76u2nj7y25wPmwcHOWT0fMjzxnwYt+H0TaHxgIEpkbRovtpQNh8UdHjh4fwDG+eAw4XSbN
4b/TkHO/plB/05BjYw7p/eHFyJiUWemPYAmeTpGaQg9doF8gNu+0NOZtWc+u/Swdzy4O3WiKyNqM
omnGeh2rrI4pNA3DqD6ZpRyGra9o73e6MVqUfllCgCgGQ8UXnrFWvFgq8c4UahjEoeXyQOMHpeor
H9cb64SrrhqvjYFb9cgU1ONcPPds9fmICMF3zYFcx96/bW0aV5VbDzhXad1ucrI9K/LIPVyS1lal
mvQTyiHDuIWSQHzMKYEI5aqrKVV0FQSnLprMT0bVVfySlEAkwyraQxLRfpSytOq3wGT3k5Mxi3vO
2uVAGW4LQZzGBA3FxK+o1iWeGbZ7bmDfcE/nazkn9LLp473TpOP9zDLRDisZ2vW0N+oWJS6STR71
aWrSz70P5kBnULVHhlxtsaySqOGruGE9ymJeMeKyaEacPjspK+PAscHp5/Sp+Xo2SUukhmclNkvJ
pk2y6eCUoqPMmHFEw3Oj7HVdFe6awqRru9vCHJP8Bb1fXJ5GWcTxBYV56R6x4rHn22zumQUVY5Ds
4rL21VnRQPwvUqbZv5GhI9N3NfrdvMJnLyFSs8L8x1rEOdZazHWTfR7tZcTb2b2TP4ZRSpm4ytH8
xjG6uzELcTQdkg4hd5P3JToksr/jKlZELjaW6XDC83GPmN+mXvVULZxEMd2lrOxM1Oty9O1H+mQB
IjkvU6W5Wrh+91PEbYf6cM49p79Fw+W0556h3WI/jWQHH8dKMlJEYNrEh4hJ1KjQXfVS3wxCGP4N
Kk0/pnJK84YIaBKNEEKPespOvjkN1ZYjLKdijHeEfslkZhrPSivRXEX+3HvPATTOtC5M19bnzOpn
H7FLpbCSbvRga8Qg0k9fVewtvmWZ1YX2F2jAfM1j4TtX2Gk4Qb82Q0P29coTPR45z9UwTvGR7lpa
Xgxp3LpruzOARMasHtMaQ4m826J6S+9xXEYwSvMC/XZvm7m+yxTsH7KTuVNPQVJY5g7RcL5qWlkL
NH3Mt3aRQHXWlFUGpY8epbLPzHLpr2oVRetRlEGFn9hMSdwkguibVvaTm63DcvYkFqeuoa7tVmdX
GVL3ol1T8MfOS1+GhshW6AHT4dKJxljsiZzEZkx1CVFHKHHWGn9b0He/HrxVpRsPBYakwbWh0Yoq
erD90bwe8Fa55cAHJMB5HVfPBlvCtU603odaZu6lB6FrYcUwtpfZYGp6EvQAcgNtqDF5GRI0wzwv
0G9S4KXmzlGJuZqVKzcFhVp9oSPzU9/6L1Giuv7KbnxT7DzSxvvNEMZiVya06qm4h8Vsgt4hxT5O
TnI9dGHZnHM+EtTjlqPaER+GkQrfLKtoWFUdqMijabvIkbVZVBm/IQ+t8yTtQWi11QfOY+X3y8Mc
VjmmuvTQ0NZaEU0Ak48k34RqEUIxZTfGT5FmKP6srWFkkpfg3bNOhjjrX3RHhb9rWvKVridH1Nl1
4jUujfRRO1cFVmDJzjeziYjbxX6KNWNK+ukS/8Hmmeh2KzlTuXb8J2yWanUy+2ByDnUfMsZGs52+
ONiCNRdT3yGENOeo9HPaKp7fFRtN4gAJqKk2wnuckrj31ob056BbG4Od9afCNfzgq0Q3787cvHaG
6wyEujum9A/KW4fZS3E5TPFsf7KwSqvWPSIlpOayK/qJ9k7Re1e2qmLuzt4qKOhdlsC1rtsUg4go
fJ+GPn+ecXXY5LPxImOOrFEy60OQjuUm1WVw7Wf5LF5lQPfvKcUQqz0ioq/rVc60GYM7MQTaGe6V
joJsUdIKdWfEtDw+aoxM8n3bY/FUYvvi+RiMhcpAT+bNeXIGeRq94pplZ+MqG2LUM3Xk0bIeME3C
KK+daBlazZQCD5tdWW2Ek86fi2mq8bnLo+ph8KIkv0DmNYU1v2Duh6MdjrZ6HkfPnqB/K4xnbvBs
mi5iY9LPjVXVdKPSLmre2WvvwhSgZuPjeXYbVP64d23jNFnJPdM5lFodrUK+0YMjXSzL+LyNDBcf
tmEz28bW1B0LniPuRBKYTDlQT6rPfdmbxsbHUGC+8zkRim3NWVjYB79gk3yoDCTiKyekxkXc5zZo
clVYTwNau9Jptm6JNxxIYZHVyK0VGlmCjaM6uGNJ1vHHhvkHipam7oJd6mKcThVdDRYL+DSaRruN
Ckc0j7RaynQJhveWX+snsxUxi/Yc6IkOK6fxcR6yQOtt1RkB9wK2Vpk+auVWuEgEXTZcytiNvWgz
F2m7qwd09Oh0x7DZd8QYfMzSEM1vFKDAvCxpJt8S/Nxll+7cxUET7BrTrq/q0jW6VyeJZHYQehJy
jeuTTk954E/JCS+LoLjrVdBOm7LD4+XBcNFWP6YJS+yBM7Hu1mHchqcap8DkmEyt6R0zO68OckZk
eAzcPtY7Zk9YwrHLZaLaecXU9Ls04kPEny2sL6E/2rdsLJEl2qp8GvxxvHdk715kWPUcvM7Izhb/
e8gfs/wsIpq+GFg5zmGsM2YPNKwlPset6XcXvXIsyhMM0oxTlSZTs/WiQg1f2oBW6X7GV60Ue2b7
7a4UA35hXlzqELRFNf6+1mY37YThzDEoRwRMtaoVrQNUxSpGyr5KZhVHTOfyDtchTvaYGE0eVjdn
XZ73jk1jog+5wwwwNG8TBbM+scWKW186jmEwJ6C/NtOv9LzkKvC1FwW4erqDb+OdxsbnJMJgLDLH
TfCcexgaoEbtLGS4doabcfEbgfsfJuBXMN+/PXm8Nu/fkgBfv/33Q4fvf/DpYbiMSS3XRkoMyvvH
oSMKkbnglsvZIaCB9K9DhxF8YDhv/gE4LmTkv+hH64NF0xzvbw4d/zYHAJHwPQdAB8x0ePjBDRgL
wwP8gP8nY4BqdUjMjc56lb+YE5vl0Cgk9bXt9BV0Y8dKKrsgY1aGCVScCXHBDirPCN5or2Uk1Uc8
YIKreg7HVY2Hxh3lhlh1VQ51M0YJk9Z5hC5azxKhfIII8KAayiMCFNsbLxr9be3iZb63AoZ4oj/q
FE8LrFkM9VTPU/0xqoKk3GDUYPrYPkJd0TPM38j/8d7H1G0xIjISKorRIj5FtZL+axxfYydBBtdQ
a/8CUyOeu9REPVx587AC65a7fJjJZqZntrXzjuFWO2MyB6R1RtMT+a8pe/t8yLqG4nXCDy7P5Flr
Of4XjwVerJUbR1eZ9OReM3aip6vs/DybDPeYGyo5etbwYIN4Y0fjFPGTXYe4BqN1OAuYqp2XSXOP
olyA/ikHtE2uLJdjkDHP4noeJ3lWT1Z6q2R+TUUg2T+a5LLu4dRcxhxPbKvlYQxxFJ8AgJKlHEwe
tVcymuHw6GwCvzX27SjN+7olDXUlo/BxyOAHaPnUdE4qebDtnNZOZSQ4jHVMfoOyT8KVxyAXDrRK
9MoY6dYzGZouar+kOxMy/lZTPx/xfIi2hSezI0ZZt/2Un3lZ+USq9ipklpCFHUtaABxiyxqRR9la
69n1242YPAKhbSvbT8LEKyLJUTolYz3u+Cjt1Ww6+VmCbPI0FzgGhPRmSAcVamer2dy40lebSfl6
17ZGs/HC1tlh0jiumwDKgNTN8vPM/H8758rD8SjNODNNI9oMl5HZ2ldOfFXW7q1VCgdVdkUTF9Is
gdGYk1rdTo2Z7GZpjrcGsMBhYFNaO/hOrNHxZ5eBCHv6co5/wxWqW6OzaYBqK9k5Udpvi7YuDlkP
mcKACFdtbq72phi9IdzBPStOGlpyag3SHCMHwynk4ta3rL/Fb4txP+BO410m2o5xDsDAwgN/VUGK
xt9NI+m4OxTaIgR1xVm+NzZYi6aVhTefYcBdjEvF4LertMzl0EJpUv2Kky+7UVrXmS/K4+AjuGCQ
hNa1IfO7rqf+nVEYvwhrth2khjglGEq8+emsHuLCJ6ZcTtOxiSbxscgS4MwBNvu69/BF0g1vVqr6
BFOuNNXbLgyr21xjUDq6uAmsuil2KNUG/5ytC/MJx1LG8xzW3SnJbaqY0Smu89HOL036v895HESg
yXH9ucTec9/UcXAxKz2ba9Kg5D7FBeiWrVVRwdWSTrBSOrnvB7f4v+ydR3LkWJZ299JzpEGLKYRL
OlWQDDGBMRS01tjNv4B/Fb2xPmBkVpIIb7pl1bStJmmZFXH9AQ9P3Pvd8x118G/ypueI7A7D2EP1
aDtddoheeIna6ddm6YcfxqGDg6WDu1UgTYHHSSXXSC00KylnFm+OVe0Q95O+kwW/vR1IDS6VkgfF
rKsrOSxTDl8h4CagZl31WRPTBIyTBAsZDYk9mq38XTOi6WlKuILYQOSqK3qF7uZcCb2s44PRjVj+
MFHguDea2bgyOrHwAHgqtwvh4yMY1FyzAeoou0HOteEgjXVHiVUpeY5YV6g/Q5ydH+rSgAMI0ldx
mjiPPo5Im2/DwYKsp7aSAQ8kQjWeRTULV1BqT3lYgBOvytE1QH1sOVLHLuAO8HShEAPtMMzZnuZM
KSiOaRTgAursnCFEobnmph+yYqbJ3djCJhFplOXIGEwkAyZBgMSUq2Hi+ok/31R9R61KrazJiWSy
7NBsh+hL4PvVYWzpvraDIhJ3YQDmuMlTLvRB3KoPpOet5yzHz2QjazT6gmPQPsTTyOl+FsVbbqfp
hzm0lEPUR+ozJnPSXYYd3WlsUtmR4PzNXB4A8I5GbvysRH6OLRRlfzt1muzpXC5OidQInyJBBicb
jYJxPSjatFEVZKKsRegkG0DMG2PSm7tRqqhOmqN2jJgr36AL1VsgR2Ll8lN1Ow87NGqu2pTKXuzL
DkPktrQ5TMFskY2vIvrqLVfekRtIFIJJ7PsIe2u2SlcgMcx5e2kyNtRyFwva4Da93n7Thy64ktgt
YYYq5nXu5/FgS7El0lJgAoZKteGOqtziCiFwsg39uHUKX0EWFrTZvWBJjTdS/OvsmnL9vpUT4bal
9NM7tayUP0RLLHacrqfPvlhnpwoVq+qUQwCwO9fyE9UrfNXJTMSOBTpltFMf3UzPdS5Ejqaa+yFs
0o8+cDdHa6VFBywY2nYy8+h+mgvxtteNcttJIVwMQa+vWXrKI438ZO6TJrUpnCKhdWsdPv03a2ol
fV+HuvkcGh0bfOiLFJYMnmqWpCIOn5aYL3VO9ZnMVEcxjAq+5RvBNe2xwomLX+2IlM2gRyDr+Z7R
ZPCk8lFvw5BNzYkDw/8Mc9LfZtl86ko9240Zur1BcjJOxRT+swbbDaqIlSjfwCuxkF5wzQ/95pBI
qvJkWD2Vja4xpY9Y7IYO/RjxJyjK4td8VGVvRsX3yKoHVzTyzX1pBvMtUjxyQeEEcNrIHlFoXFcS
3XLNaGnHUhOTU1aXLQBbZZfmwocIzC7Z25G+gzTMD1k6kCPhWNJwQtyMctduVMqW/ASeJ3povzmK
oZ5tUa9UW0PLQTwlo3hqBi2CuJUVbhWZ+p5vWLR9RQ53NBPoh0gFhIZ4qvpokqZx4LapXq5L01Wd
DMUBSipFC9xytmMjcPkSBX/j4yz9IYp1y2ObspCqKfPtkEjTDdTM8GMGNePa6of8gxTP+Vaz0mYr
kT3eZLk0uUADk00X+/phoq6K96ARXWsm+Q9J72gzMGqwO+GC7lEeIkXyKo4HUOpCUl/hqWjzA50U
XpTMG82v3H4wdzlyy1Ds7b7+Uio/pKQF6N6b1mx3co5eYACxQWJN78qlnujfURgLPjY5tgTG1LiD
JP/oSJV8LtR8uPbRXimuNPchchxogeIgXKm+mkinjIk3unUlQ3bL0h+WUVk/FL/jsqe21ezmImh1
g7LadWshKBASWSPBZ7RXctnwXXZV/YBQQiVfFVBzLuZQ74Gu+OFz39MAkmmFZgcVX6LboYcgkSl+
LOA8umoRIYaXwRcFYtxB8RtDgaOqPACAkSRPTkbhq1gkjVMpY+VREBxQ5kXihiUAxCWqqdsAGBZ5
3sj2R/ZeIZ6ST+S6WsREXBVL1Y8OHFCHL0Mn9ht0I+CZRR0seNTl31vR8HekCufrPOh1p/TpeqPO
qnsCmgU3zFFfCqRNOMZFjXWq0aVuWtJod2C+OL32cUIq0YoOqhA0uzCEiGr107Stma57fZw5Fqqd
i/B9PIB1VmhRguA2Kp2+1SdFOIjqAmvuUoghiB7cDt0FgBvQSFoRwNruLelYFdInZH0PqRF8hFCL
KMpazpllgvzYF45KN+i2pE93vkJvR8WqYo81uQk/rGeXdNF03yz6QWvpMo8iiqIDHKxNJpTkMnLf
TRdYPkJA3lmMxy99Jz8UygFeQ0XTjdThJATGsVw0QopsDmAczYDFsLlZzD3A9gMj0Wb9mm/lWjSa
vRKRPUUuAYJJg8bcquxqtRZ9hWHIkjw08iYu+X+XKTxPsxQ/t0n2A1upR720biYJhVgVpJMjkSIF
wmaQ0hIR0/p50vHveho+IgfmonLwg4m7ClqyzyLA7R+d1I0x0lZB2jUCCSUSjBNJezJNqAWbTVar
X1oYlMcmDbKNIuQGGZDK3MZtnN7nQUBXTCOSm4jbhw5zlGslG6tNVahbQzALuGVZx38bINeqxlU0
+7hBttInWQkGG2V4zKKcP851v68hgSPGg2FDusxOUz9xqxYgduNHu8LqEseXaGMySbfbsAOPbaqZ
94DBg02ltbknCIixx0TLD1MLwC6yuG2V7CrbVgHe34apegCDLW7iNu/pFRlJVLaCxHSHuCsbSfsB
ZVO9F1ITFFk8bMva5Bwedre4cTyBgsNwoZsTsqm+bTapi9Z2avYlf45kddo/dDgQiLnklrRNHEsj
bj2yJBnsqNsYNRedIfUICY2qfRfB3L0a6mzm7zLp16NEBmRKxE57HqsDu26/y+sx/WDNMX1hILL2
A3blFNhHqWGb52CHa7Ep7/+vdvtn7VYEffFeCsVryv/+/3VEO+mHZ+SWr7Mp0q8/+2c+RTb/WLIe
aLgN1ZLp9yYx8lc3qfSHaVjLv6bKS+fE0vDwr25S4w8O6JZqYrhisS0a/Jq/8imy9AcFX12lQ1Wh
3ZR8yD8p464hUVyI0IVxwJN1ekpx9ls1iDei2s8pihxb3A4/u6NyOxwQFlw19+zup4HjVeqE98aT
uLtk2rkGjfwWedXQESYjTaDhDJP+sfNIfDoVuRq7t8Ovls+5ytauVXtwcdT1BNXVWveiWdwL3uhV
BXv9C9Zd/nKdqRHJpgg73+x5grBjQ8j6UX3r3BgvPhcf1sZ+NU3+bOZ93bz7wgd6HdJCIaMZCM+o
9fMhLpm615QiONzo6WrqAf5J+9Q+4MCGOPZL5YQsCs7otXfwIZHx5hedbVfkBJJ2bwJrq7SZT7cY
3lYEVtIeVemz1PKPpNAn7YLf1Yo38VugFQwgIM8fCkPBatzO7CganHhBxrpQUS6ZeEmrVOCvUAAH
NEqxtBqZq5Z8gxp8CB+wsVt38MrP2aHfCSfh4H8V3EukrN++k+X5kRpV6f9f0J7K0p70Ci810Cwh
IKcmRXaaAOvZ9V51tB0axesxsPEIaJ+mh/wQ3Si32sP7c2b5AtdT5nVk9W3kBNGcCRSQC9x8Kyn7
DOfZicIvFzsU3uUvQc4bQMCbCcrK8jaaSZcXuT4D3pAq0bb+NhrGQsNYL+vB8kz9Q+PEG+q2R+1Q
HoJN8fH9oS0//c3QVsGWSfvqoeZqUqqI+Fh8qtoRcticqPTeD7FG/GmsrugZFp0MGVPy2qsXF1px
GeCfAaMbitEUASWxpcbJHGAo7uQ2FDpEewrtyPWdC5HPPspXkVcvzh+aCt4jo1vcwgPqQ5txF11N
2OFsg0+RG24vxPvtc1iNdPXqDAqdgzgTL7ziBrORQDUle8WhafXi5/DbnFyFWr24QjUo4dY81HYQ
RYeaFvkWoez1W7ieAp4ftXVCp9hv3h/hb0vL26jKammxummoAxOPt0q6Q+FBn0HqQpV9P8jy03+b
k3+/tQUr8XpO1mNlUIAnyGwNTqKQULFuOgMmaidfmJpnh0NLFWcAFf2UtpqZI+J9KmVESqWP82In
kHzQhl+HtP/9ez47nFdBVpNw5lhRmTJBxk33lFN19jfYBKn70Rnc/towneQzlffQk7j7/ztf99+h
9dX4ClPxx1YhNFYSXFgXI72799/VmqP16+N+FWI1uiEYUuqTSwg+MaDFzvxVv4WaegXI4Shn/+yF
6QvaBrGbJUvYEC8qu7dTQy85RLcBxmL6QDXcwrgvpdJEh/T7o1rNi3UYZbVV02XTYvuETVTdHtIJ
iVe0V3F0fT/ICxfv1Tz/FUUzF7ng0tW73tACCeO+3NdjJ43ug126Acph3ORoTtTihvyqkwpP70c8
OywLQBjnWrqF1wtxUpODT0qeXpzFTpM+zeNI6eLSqrvaUn4N61WU1YzoW8xbJEukj13uDjQoXo25
9s9WiN9CLAN9tWspBajndGYgloY3RU6PRxvQ4vZdmgfv/Ud2aTDLx/0qkkl9CasUImV02NPQ+dir
0oV5cCnEstK/ChEJQlfFxhJiac2Jv7Ta9ftjWC1AL09Lhc6DYoMjGneMtwH8EdDVQOHS0UGeKDJ4
CeOuHHUQBpeGcimS/DZSYLRxEBUMJS3I+eQfNWT+oBNt04oubO1rhuCvQckKk5iFACXsagpQDE9G
qVBiR9wu7juaF8Le+MlH45Ieha/yM7q1fsbXaOcO0a3o6sfIrS4QxNZXiZffwMmXjxcKEEvTaqaH
4KKiBIWdk1/hN+RyvHkuDnhPRA7JiivhC1ZmDjjXf3jK+C3sauj0B+HhGMaxMx3iW6i1O8vRb4q9
bCeufv/Pp87rEa6mv171edMEZuRYgeCVde3l1UcdQ1Y0RBde6Hoj+TUq8o9c/BfPbXU1SycBTzcV
KqQj3ZhbeIwnXBQ8Yxs4nEsvnp7OTVQ4Uv8KtpqobQQSxELe5ohNSsUZjVx2gw/YXRgnF77u9RV3
GZcs6kwO7rH4X6/HJWt0DhZxk5BYtudNcoShY6t2/Ix8z2m3yG0uPMjl7a92lTfxVkOro6b0c0q6
ziBiwFj/kLIGPIl1IYp0ZtV6E0ZZfeoWibBWql+GZUpbbQNMaGt8GX+KV7i/2uV9u+1270/Gc9/b
m5ir720oTQFZOzGnLWjUB9UpECbZc+ggx2SaBDzLwZmO/oU9YH2B+fUKOWxIsoLaXjFWKzQQApq7
Zh5p8bPzwOZLLu0yTu+MptNtKFvul0zFxezM8qJ+e5H0/9Hxb0ArXxum0ys7DlMNlNw/yQfZiw6a
Nx9+jTR3/q1ZQzLMRHMkUyxenXhgbRWF4U/4uSxFfRI/LesZ9Ij33+C5ualQYgDBhgO8usYUJlmk
GByHMToAgxhaD0szqtRfmCbntga0MgjIFbAnnBdXU7NVulKEFwrO6xDtsmvelhN4rW3cGUcsLB9G
R9jOJyCv+2Jn3EIquvBpLLNh/d5UUaeWbehQChcO3ev9HEpWYqgpzUg5dU5YYZsyPWHb5Uxi6tHg
cOGRnvsO6QxR2YY0ecllvo1WxwsNQs9SB8Xvo5iFpwZn0AsxzqyWiM5EcqEkKfGYWOUJZzFWpE5k
RH3dHSJlm8vPpU8z8fj0/vQ4u1YC5Tc5qphoZNbe6bo2KvVADc1Rbkj8u1QRHoV71TZveGOPw/GS
D8C5Z/c63Oq7HtOWCg7KzoXU8SVojWdcKS5MhotDWj07SiURPoTEiPfhQ7Sjn9GmP9NbVv9ic5kn
f3ZIhqqxsy0dRurqbCA0o5pRE8E/e7xWhJsoVi/MhbOLMPnTf0VYHQmyrgZOraS0rfv4KDnBTjma
e+OLj+Wd07jTIpdyJS+/Czbqxdztcr1bf1qvY69e2JSEKdw4Yhc/aWtq98OpII+kPqD+CzwclFu7
9/xPIPPIJvH9fTEu3OXPPl0Sx0tXl4yacvVpzzi31GoSLx8CZjTcp1sq2+9/A+dDkJKQlzVEftmL
Xt0GfMB1SjkxRKvaZeZtXn9//+9fp1FfNjMNgJOqLiJOaz1DlHHop07hNoAyc/DYtx1aWg/azncj
p91hU+doT5Dcks0l5PbZkb0KvJ44WTZkcWNwqTa+yeZTwb36wtDOrVOvh7aaHrE+1GgtiZBf1XsJ
VzU78gQHb1fs0g7CwTxSQ3HqzZ865v81w3NpYOtPPCnR7Q2EFafCk+TGMy9tKWfnvQWvR1dEGjzW
aXadw0dTwSvgxL8A0/tdsEeyuW0uXWjO7c/LcZUjAO222L283UzYt8tU0P3YGT/FDyjCjzTPzDsY
eZSB0GBk38bHyDUvHK/OvTUdW1FUz5zeLH21ZM2tLAkirdDAbmKPhKaGJmV04vHCseDMW+IAzkWN
XJ8FLHmVOorrsmhAxEaOGgFaxCk5Di6s9RcirHXRtZD5ErAxilnK51K4moKrC/P7zMlCoQ4hidzk
JZhuq/k9NbXc0aAdoS52Xu5IW7Qi8gOdIKx8s+Pb8ElvaMSML96X5GVlW628iqlRf1kKojqt9W9n
Bn1BIVAyg5vtJthZx9jNnHEjethBfgBDeZWdcN16TJ8nN3NBKIUn5InZB/1CIuPM9FQwI0SgxC/A
cGI1U+Sy08W5kSMH36wrM1O3ujLSNiRcmJDnwyDK535Ia621CtP1KQlAmUtvUn+TamqisKOy8NJs
kc9Nlxci+J9hVuthjoctJUDCGJIt3mfwyVxtFz7Ut9XW3Oc3xRak5FZ5GmQ7/WqdBhcr3RNa3ot1
SVk+927RsP813tW7ZcM11Unhhyg31hUoL290dYzcHbhj4SbfCZqdPYy48Nr5NU4eu2an3sWPl5a4
c5csXu7fv2K1iipBH0QxZtdcdxCMqAgwndjFQ+SmPELS8u3aGVX737ouvwm7WhYCmh3DdBl8FSVu
TVMucie3My4lrte19mXbfRUHUvXbD2jWY03qNYVU5abc11fRfXc93M8s5qyuLnvuz2nT7VHRYDV+
urTCvj/TgEi+jV0nEZ1SImMMpAeh/aCBSXt/ZTqzhL8Z3DLDXh1a6ibtJVwF+WJCyNDx5Izi5zh8
UKOb9+NcGsjq/JWGKjavE3G6iLbA8tRoF5bY85++hVBER4pBXejtQFplxgbMYJNIaRyw2qvSQEsf
Xdhmz4/i7yCr9aVA75S16O0dofhccONQ1fnCTnQumcYL+TvEam3Rp1ySopQQ+p3sICqkIumSCnUm
dz7ld/8QzP/n3P472moByZPRFLSZp9bOT4lw0oen91/7pbeyWhpSEFhAzxkNQtpaokPFjGwtuGA3
svzI33Y4Y9ExQFGFI7+aW6aFmx60PR6ZYDpl/KCV3/3pezbtEGde+FwuhVrNshAwjalEPC+ISPTg
3/Q+voLhcxOZTqTNF4KdnwuvBraabn2lmfg8MrDFbae8mY/k6R7xa3N1KnRwdN5/V2cn96toq5kX
CFEYJhbROvHkF8+S/uH9v//8tvkqwGqyBaae9rVJAHlb7sVDdq966SbwBE/zhm21zZzIgevtZLcy
m7ZN9sUJcBO6lDo4OyVf/YrVlDToaZ/VehmmtFXZmCbzp0Eb8vtjPXPsxwbh7ym52pvoa0Ux3hCE
Jrjdkl/VtnThXC4oLFP7t6lvishNNBI8lrZaviMZPgSO66DNbvorxZ13hpfsTXtyl5JCcPEwefbZ
vQq3+tJmmvv9sWcrTJOrPPxsTkcau99/csvjf29Eqy8sWSDlU0YjiiDmezH8mcbg8q9DDUeBJqLD
7fP74c5dqmmI/PsJrr6xiA9Z61qeIE2Jm1PoZJ5xXOwDt+NhOZcvsiT9Pttcyoif/dhehV19bHEw
oPHu2Q9LC6YKUPMsP70/svPvSiGPqb2ovFbHllQS0LHHvKug0JE4H2O/t03j4f0g50+gVMElyj7s
uusTdwzSWI18CmmLDBB84u18o25pzdtkHurdQ71rDzm+6uSNP6ibbIP0Nrq5VM1bntV6yuAsY2qc
0zT6a1evcM5bVc5ERiqN+mboP0kNLaXRbsBU4v3RnnukrwOtXhqCbyMruuWltZZbVBseKTKyj+8H
OTsjX0dZLZNTk49KDo7TaT8Nh8mZcQaaPN1RjnCzb2GKjU+B05/wzr4wunNTEoI59C8FcBINzDzm
V0dBvWQ9a1UeY5Z+x/5xnD9dGNiyGP32nkhskos2JVJkq0Uxb4Z0NpdLMPU0jGm3wRcLJ1Up5fIr
cj+4KDs8Oy+gNtF4rS3WQ6vD89hCDZ6X/ab9Nh30Q7cVrvOj9mX6XHviJvfKLW037w/x7AR5FXG1
HCdjGDWZsHxzqU53PsxDmkboaXw/yktJ5/cH+ffAVsswPbiZBhGN27TXsurnN/WV6ImPixGedBff
+zeiWzuRK912Hy4nfZZp8F7wZRq9miYpTYhZszxV4E9HoA1Xgdju1ELBPaXAGFu75PZ1Tmyj4Irw
r9e4+rz9QS17PyTgdGj3ClZVyw4XOCLX2fef69n5gtEmRQzEjtoiHH89MljHU1Dhyu0IdOVmsHuL
ZGmQ6Dwpl533Q50rwipoeSxydQhjMad8G2tOc+iJHQfJWBKchL9fNyvapYryUyIb0GDHxylTbksh
pTNfvwnw3IBOvBeD9Gau6ER6/9ec/fJf/ZjVujY02dSmKj9GSr8I1VEybv+zv3+1skwWnanmcuSq
4+jZb60neY7u/7MQq1NdPuVQEc3leSqwQ4NH4Nb/WYDV4hWVNIyR4eWS0aWntCgAa9cXrrDnV36N
8gSdCwodD6vvWlehGdfwyJ3O6Txzmz2bi4bYXQrWdNtXJBsAhlN6upTfP7tsaVydmYoimqjV2HQd
qLc0sGzJ4SmD8YwvgjPm8oUDybn6k2L9HWZdqe4aJaiNnmlQ+O1j1dHOJkT7Icu9qKWRroAgMdFq
KQ4NWGDzatIrbgRW4eoYVtEhJ3ipSgdpeCExcWHsLyXpV8uZPuuBJra8V4FeVBP6hdrA/gJ99v70
OXuXez341eLSzApiMZ3BDwdzu5zUy+NSS8TV3Qtc7d/Zh1496dVEUmlOXaYYBxW8ZumrwxposNNy
unBWv/TsVlsBDLnChM7JdidiIt6Bzf7o+5H3/pM7GwSJJbxGDe8Sa7V4hPS6gwZtY6hn3/zqMe9K
Fz72hQd2dgV8FWS1fAiDFkplyCzwo8RLJ+wrLsluLg1j9Y0lEXlavUW31COx7WYnih8nmGTvP6vz
K8hf4wCAuTr0J5KPwwLCNsc8TU8N4ol8Y+4bF1C1oyw3UARZwsa6eNQ6+/gsUeL4TYofScNqNxP8
ggQsqtsYD2eNXoQpvHSjPpeGVReCDv/DPVBdS/aoDLWQvniAaWFqo4c5S7pRirFA2DbHHyHkpbYe
oouUIhOsFsxpzCxDbYI+lk+QteCTlHLX2BTkem/uVIhpc1CxVcxQEuCcmx/rHDL+hfexPO/VYQn1
GIpdUgGa8ltHyGwV7ZykvA95628XE+h5W+1ju3T+jfr2m0DrLXwwEmxKyMHPaSzbWLxtfRwXLkwv
euh+Gw8NdahjIKSiU6AM/fZFc9yrhjgYM6fLe8WwtSnXJw+sQyrb8ObragMSQamw5hgs0cEPJjkM
jQY0xzDk/IhlY1o6Lcc5YJPWOAy2kIvjDujCALCrkw+lAY3DxDTGzgz0DxuL1vefdWWmx0Lyh4Cs
6xB/APAiXGlYd20w5JFFB9iD6cTG/F1IaMxtYpE8tqxGqqcAUwYdocvXbUvEIRXFrZ4xBXIaY70w
bhCplIFyrFToh3WuVFQuy3ozC0Vt+5gzSY5R9aDlsRUA0pDR4OrSFx86ZCcSfz/iwXUrTPjUuplu
9Ttec30dZ336ZUxwKBl6jU0LKldiT9VQHDHtsLBcsgZjA/vTomKKfcE0z8ZOwynRVVoy+3WRzPeZ
7IseZJjmNOCE5KXAUJ0Y+vch9iV4EYJVPwGMolTopzOaYwWv71ydjiOojn3UDxO4Qh/LCp6XbQY6
3Agh/YGwWP8oV6Zu4zanjDYEP7mxQZFodjf4+kaZrLHc65MxiDs5HNvHWpkGeCCFaR4k+jluAlFr
vaSImkcyhEpD67Iq7FoxDb2ZwSlekICy7Xh7+SZVjdqWpwC3nCRpXFEp0p2PrOWbIhh+fBPkIuD2
BASHvGtRLW1HOsR7t0zSSqH1HiCFvhCj1GovlXxRPwK1V/SvI5w367pOzdRysJEwP6aot8JtMiu4
FI2yLIC/TRLxqLczTkplpRWqO3UI5p4iQKVwalVyqWBYrAB2fN3zJoB19rjtdhxG8eoxNp1axxs5
hWltlVP7JY0mpshoDAefm9aI42dRfe4Facbz0YjcjNYJuDeBnGPuZs2FPUxKmnktj/RYDbJ5bYxq
ddc1+D7irCh86mMhucty3k7Qjv42qf342Il6Dp0bcEyGPPdHVvXqfRSZH6ZSCkD0gRGAxSPt6nhs
3X7M6s8Z9KrbYcScElQSTTWTip+P1vfDczf06m0z9HLwRWlylAyGWdKLINWf/UDJLbYcmj2c3Mqj
TV1imMQGMSCsjmtIVDSs7f1IzgGTYyiEuDb7ia9ed6AFIHAFSmPg+8OFBSAozlhC441aoXSxeJQp
7MlH3hXHYXkEc1UO1UaQCuuUQO0nRaEVIyyQGbBP0UfVlwDibGZrahq5aaZZW23kPrCYHc1jlp1Q
j47siUsTfmEsbkgFHKkdrDCtxxYjPYZk3W9COMifBKWRr2nlpq5JWZvpHss4MJS1/BUmU7Kv9Hm0
3FzDGsKu9LbaxpMhP4PaRVKbhP4T/ByzvYYdMT2H2pAdpVrcKU1YNNsWkKFnKdNEk7iv740mVY8d
FVay0fjZ3PV9MHsxNkbfsEeoQhssS+6kfQL2QEu6Zgd0XrmWu9q6xTFesvNRpKtGF+bPRaBjWJYx
6YLcxERgKroDCP6ihBtOzzmOX+Yebof0JPqlsoMIghpr7rSfVdAPm0bJ0205wa3JZRn2C1jWO9xl
io+DqVf7tM/yfaz22Z5dU3f0SWx/xkaubMMIPlaS6IdKJmNUAIZZiDKTuDFMH1eixelKBma0b8PA
+tAHo7ovsNT14D9iRYF7VWjjgtP/8EPB2DcQFRxfFOoFZq6gy6kK/VSahYkTrBhDfDObtsYmCGIB
zotpl29Fq5Z2nawPN7gLzD80VcL/QFzYoTT1erzOzGtaU9n1VeJi0lM4akMXHISFXDhJY4eAENLu
MejgstKpP/mBo449mrW4lL0e3vFBxZHte6DOXtLPxlMb5TghlfBSB6sIt5MR0Dc7Rmr4sZLycd9O
co3qoktyTwQ+cwd7fvjU+kIJCbcTxDstyG+sWBFpTbVK0HiaIH3m41z8zNTuucSTArtJOdEftTwc
P0vZUNlGp3zDKW9Sc1iheF5tUjmU9lJujvuy4kPRelLjWjKlt2CyMNfym9bjG5vpJBs0aaOXJfyB
9sdgtd3WYp38ObwYo6mhPmNFohe9W/QpFlyBjBmQNrf3vdbMd2aY+g9Z2ViNHeGx5vk4e+xpp3ie
Uh1qV6gY2ynpWrBpg3YQQuj5Tl3mX/0C77wxM+E8F1Ak/NRKrxroVu5cqOIVmFd8cI3Gf0412jEU
gVZxDks3eS8J8IP6E2KHBmZGV+8XrJ/Q6TsFZ45bMYomYCM68JLINx5jyRdOuZGpp7ZMrIMC9uIK
/lnzPHW8jHDO87tlP9u2RTnsDC1jlWikvKB7NOt2c84zMYJhh35vusXgQDyYySRvRpFciBF36QG8
tupYoWh+EZtmcOR68L8DNh+vWYLT/VSq4s4qZxEsSupvFm3IgeOQBs0niPY+8/erpQ7iVggH4ynK
U8nph67G7LDoul09AUbKxERcvA3nfYW3DGYrWXEcqx4iz2DpR7Cfm9KsItpeDXX8PvuPoMzwwOVJ
WRw31GI/L6CcCbQpiNXOzWMZbJYOH1u5F6qM7y8BJJMP4+iCk/btqVewysFa0S4nOb8rWRK+9V2D
x9Y8DVe6YJEvL1jCcFlAz4f7kbmrQg4zldiqpxlI9o7jFH7HU2weul6Qn+pEKp/YeDVMtOS2hMsW
aae+mKfveLalG8hUhTtNmUT9JB2O2PRlF+72v99u8L0kZazirmaSulj++6tbdN4N00RlKHVk0d+M
IYtLsZOnS4nP368ZSxSEiAiZOLKsrxmAUDAaMoMMPPXHgekMOubCeX25hb89rxOBflL05y9SrdX5
Nigg8xW5mDq1KzotPNpTugFRvJG8Wj3Gh0sZxzPSmbfxlhG/em5TWvatNPHcND44W7mabfiztCYY
NGJ4oAxAxW3+LID+H7z1vyQZ1uKrN+4+t89vnOy3RfTf/695gxz59Uf+RI6o2h8gCgB5mCALUOQv
l9A/kSOa8geoD4kjKQ3HMhYRXI3+hRyR/2Dek0ClACsiPRGZVn8hRyTrDxX2K8o/qCSQXuV/5BxB
L/XbGUp+jmKbouu4VyC5pFnz7YyR1NCEuhXg8WYUAwXRFxufoR3hbxn64F+PdBBxuLIWx3KO3Ynl
sdDMPyO9B0TXLA5Bop/UWFhrcRccxxcTISzbgCQn8J5abKYluFU5jqXZXcQWotwFL2ZECD176+CD
s6LKhie3IITaFh4c4tm+AHp9RNnH1UJN5PC7invmz3ROM1o14HsO7AsY02M2Jhxa+nG+tsZiKBiE
i8ZdqAXhqX8xZRLGxaAJhDZmTYnOkGivlQWP9CTapHJxdtK71rS++S+GT+pQDrXHuZT7BNgpDvZC
UBTNPQgNUPLxi3HUoAN6w23Ol0EdseNjL6UAhMbpYXGdKpoCJj0NbWDkkhdfqknC08F4savKF+eq
/MXESkTaMdrzL3OrZoFdYS6J6ZUqAAp1QUcD6i447T7M5qQ+4rQBHSmvcXhAuYp7ljrj/GgPi6lW
4E/8IxbfeG1h3ajpt8kvDy78rTPs9mKMRsFJzwdLDjir16AqMc4errNO738EIY5ewMQhshIfaLUf
m6H1MQ1lbfL8uXR939zpcQERC9hW923AWhKLMO4PV4M/AmlUMiXxnVmmyYwDFc4dqgy2rRmyvtor
ceFTEnvxOhuKJL0PXxzQ1MUMzcQOOOdwacDAropx4bLpuGS9WKhJi5ta2rXB1/HFYg0NsmDc+BMn
V1U0rsyxqQ+53FQPEaBMEiCKlGIl3olGcp0vxnIVqZcTadcqc/F9uB67/ph000lutc8jB3uQTi9O
dYDwokP74l8HW7f8rpkV+6icF0vXgj7myVYNlOrByE3lp1VWYX/dh+lNXJbmd2Fxz0M1VnyH94el
3thWUbhp5Rk+oN+ofgMCpdIECtN+c93H1lx5gMUm8TDKTW8N903GF3nlZ9p4W6BtFTfSFKga+D7D
boJkq1RWPe9xAkP/J8ZSaTgZz8uy88QXw8MgNBzfroQQWgcXT3OKr/OqUn9iTxRO3BdLJgU+Qnm5
kdJiX7RWMm79MZOhCswDtEFOpKZylEfTFjOhM23Y4JEHhKzAUMTAdVCpXgwI8ynDjTB5sSZMcP06
Jm2RRt+GxcGwWLwMJ3CAo9dhjJJcmXml685QAjnnikPTepDjh9gYJf+WAlNQ79Q2Vj4HOP7h+9Au
TopkWrBHCbgvLQ6Li9tiEYxcU/+HvTNLrhtp0/Ne+h7VQGJKRNi+OPPAeaZuEKLEwozEPG3HW/AO
emP9gKq/LR7RohW+9U1FSRQJAieR+Q3v9z7uDwxj/MZkDEcvKrf2G6vRsgp9F3QzwVHiEdvuVTyT
HRN87MtL8wfy0Zzxjz9oKzoGidkyfiNE9kEhOArfyJGmFjbNFngutY5sxLlwUfTqTDKlVe0DLxc3
sM1qEO1TDbqqUeYrUI2og2wPMGUfgee8B1emsq1t5tUqNiIvWCJjH9K133T0nRuvil5NhyfsTDpW
elai6+D6QvVamJ23d4owu4/i0cIEbzIfUogp10Xrm+EmyApf0BY0OzRETncw7Co9aztLfFNdDIXK
qEmJ1pXfZ/w3lfdABOxujQxF9uvMGbUE7rEu8PUt4ZFCPE3rCva0wqggjUeBqUUuHH0d5VjZr8Yg
xQ1Vtv2AptEekhdSF0VbsKxTfx2HrtPdjIXqBYyuCTNgUxjgbRM8yBE4hXAUtFA3i7MxIRnelEFm
a7uJIgk1wsjHescq8D250jMnd7eZYzXy4AFqDjZem5fePiB/3el9BYNDKyslzHnjnMje4CjL7dhg
4ItrbzlQy26N9FHYYBGO8Hd7l5VUyJ3bmDjRChsHVXAjAz3xIbnFOrQOd54bhPahmoKw3UdVMrZU
26SB3aPrFetQS8ZLOwOBttEBd1YsjbGJ10ltBRr2eNkEjsOOrp2OatZ6dAcb7kvUi1VvTaJauHjx
v+iy6De90IS/oS1v+c+yx/pwFwwO9Jt6dIul6nJMI+tE1KhfsyD43kudXb23PbCGrigHa+PWrgkH
Gk/apRFZwbTsMJ+rr3mYK/LQcZuoJsOXM63BxgCyLQ94a2rJxWhlSXaY7KryZ1dwXqAg5SjYJhxZ
G0DDvEX/4BWTREs2SjeBmUiNLphUNSeGquZjAl80KGgWlMD0oDJOo6RqOGAZvoPgkl8xVjIs5IjI
pa8HEzkKPr5WjpKowzV70XC+y7VR2qWb4gbdaA7nMBjtbtd6bTctPcA0jFMKizKJtLP59MHS9iws
4zImncCm9DqfvKa8jRmDGzeO8ipcICXFBNPu+Z6xF4A7FlmLpytOol2JT9WCcX+IiKaKxv5agwEX
LGlVFMnOE4rcg4iifKRc1RabWo+ytUSYVKzHPJvcZRsqO/pqGt1z4UM4lI3KwIZ6k3OFf7Nnv0QJ
1bwjJ4w3bFOl1c4SbhLEZc4Y/zIsTedZ1L59oTeZZS2TsUiOJHgUbKFocYSG+GcdC6tNwjXEbrqo
YToTmkF9+bP/pmzPE4l5qtlB2b5if6sEVSOzVgsij9h+AHMB2i70utQ766NuIIsNR71bx7Ve7lTu
2s0Rk/MO201PFDcxHzUm83ZfV9vaCZmVgtSntE1uxPoxrH2ccPHzjov63MjHttshwc2Wrmqc6iXo
a0XzsQjrVWza5LlFmZjl2sZnOd64FJn+LqrMrAGQJPq49xpjdiFVaZ5QiDF0yihpZdWrhsqE2viw
ZLOVb5tFd1G4UxGuaLpXF0kdwZ9lFk9Ei/mcN3icAoYtXM9iJ4cskms3hYq49LVkhgz5kLlgP4be
7YiJfLTC8r08Qo9pyntX5U13iCku07jFqp2RWSg72THP6wwVvtTqML2oBSbTvISO2sSRLWQCXdMp
3U0qx/zG0iDa1K4AHFsHw1ccGB/rsmmu9cB15CWJbR9v+yKhPjmZ4mj4rddgna1RQyP9jZlrMsqL
SOuqZ7sP8b62KDZe4IQVXfY4P4RLAl/ztQ0H/qIWeu/c9q4GF8ALm2/KT3khxjw2xz38xSq51hPr
HFqPq7P4hvLS8KPa302qKqpD18S1s65j2NMrizpRsbbBYumsz5gSifCx5i2CSbXXScFuYLcITPZ+
0rrafnC8yb9ru95ILtrQTQNMY8ta7cdh0MIzH+LDzsiSyNmxheVyl5hT8H10bSwHKlUPxZeYjs7A
q11x+vYoqp5rGbAn9PyNWsg4N4ObqmZ5r0C4y21UByBsiRSCILxq0jKASRplbXgM9X5Mn1zKLMug
MCwwZENaaPvOdaNsxXFouIsozMJboedjvRNTl3wLKJgWy2wAZr41G8zuN47mdrTHWefIpiwti7Xb
WHftdO7gt4cA2jUF3CamnGN1gQboxMEj/NbE+F27kHn9ReVTtelGSnRnWTzzRt8Suf+f1f4bPpX4
DP02r71R+ff/+F959PXn1Pa/vu+f5Nb2/sL20nFdLFc8eOomxYZ/klvQJZLB7bnm4RgIUCy+9K/k
1v0LXAkJL713sk5UluTE/5Xcmn/xNXO2R4RTMitN/8hP03hr5v9Uf6HsQlprCMR6VHgYgj7pX8uG
8Vze9WSViuBVFrHaO1HR7vvIjKkwd23xpYld/TxIvKOVCnOddQY0C1tvlznTd895WTRY7M74qLpW
xWKywm4f5AQaUzma1XKi8LZh5XvQyAh32uS8042e3BSf4mXPBOLOcyIL9U1vmg+RIIVrUF1/Nd2G
6A2N23MdkcRQqaTXVpXjVlau/xQ7EuZhTo+MVmHePBQ2zbVysnPamIgSz7shl18qeI3447uABM1U
MpJF3XKFik77mrVGf+WXOXGsCPr4i2xSggQvqR8jR/TZ0odLS2WwM827CpfdEaBFV24azHnZ8Az3
os1tezV5Mnlh96EPW+j9k1nK/kKzkyYibdU5ZLNopCM2HZRf49sQJsGNEcdQ/EC72o3MXsos7Owd
lKX6RcU1BsKSpP2pEy39z0ivz01Bg6SjfwG8jacSQmmcCJ99fyvy3LRfdEDa35HSOBde6Ujm0Dxf
69ctoLnHlv3imWyaeYnYyTbU9/1VyEm3wQ0d6NNCt69L4uKtO4sjcJxvdiqWyaXT1v3OCYzqnHK4
vwkFMIFFrFXh3wmFVACyvvZg0J9a5BXhiKXPc/q01S59wN/L0tXqHSRXerOQaXAjdsJD4paXsshv
s9g7DEZBnYHYPMIBPc91sBTDaGH4LMs1pMH2cdSKg+bihg3sZueVMBVz0RPG5Yr5upbHWlCWP+R9
fm0nfJGu6rKLuwAiSoK1HqsLckaSbyrrkcHzpaHVX2XPNNyUHcg3jWuzNL5VU61tUyu+GYi5tl7j
Gtt+mPz1WGMJUZRVvNY9sLrKcVN+gJus8hC2QWf3+F9nY5ltVYpXIOlVYGzdbCo3dThUCD/oe/J7
SGlEC3q5/iIye/M4CEzv83rae3Zpn+daYe/iyPMeeRgJikMvu9boQ8OrHJC/mB0ooNSgubqoO907
i6xYsgI6hfMHWO8nvQ8wL5ypbWMVh3DP3fyKJpS/L/Cmvhc0r7eEvuZFkKZw/NQcQeAA3l0AOBSH
1pi0hykfmwvPiNNvIPa+OFlD58ELQaAGiMSeQC7Ym2K0xKUpE/+cpDosKWTIeu+1WvFMlX1N6L4K
30xssOH06Aw57jWjQeOxyCv/Oi+zcl/k3XApLK14Enl5NzKxf9XItptPNYDK2l01xPlobXTonkeC
eZMRO2VO0MShI1SjAZ9iuNca/xH2Qf2shlKuaYJT1gjC+BjYhOP4EpqrgCxqGTd8AV7c/EbO/05V
cluHNYWiIJj555odf9VR41PNbe3yVq9o7CVioBWFYfoZRv3VE7AzuYZziWm/9FrvDLM3kq4gLszn
RCb5qoZMsVaeQ4SkKhKbRqbboDLTLYrB4kdmECRG/4rFAf+4yhra77G+I6UhdHj7ZmeMQYS1qQOU
wA7c4gJYjXeA6OGZnPOp528sJ/bPYNZo1aLUEknCkPY6qhlb+xumabSJQMndS/QBu0aEq1oku24s
6x14Q/8wxGZ3zzLVrvXMbXcJVaU9vAjvKBoDBFrfl5duLhiZ8yo9hSVRNdrep0J4W8RSO2v9hKaW
k2TdbZWG0abUfa9cYGpTnuH5H21jmqm7jmxsPWA+viLHF2C8u/DSja2XOPfsZdIEWIJPYfadkoFN
/96qsMEJqnQFlKFYGdxwvarpUV+COYqXLAlnmVc45C+Gop6+Ysl/zotkoeoc4yujM9yNxkj4Rie6
XvXlmN4kWSa30k+xrnh79qqZ/w5/KKQEOTkbd1Ss8YkfHjXbi2mxQ0Pd6K0IvqN8BcsZ2DZbpphG
QfUBBgohLw6N9K+s1lv6dksq4uRluAfXzc+sYUpgnsnnG7SZXEPQxVLe8ihaWv6M0LQIyR97Y/Av
+94Uz1LrWUITyXpd1eVt0lOHTEifMmCmVnREjWDdw6kpDgNFt13epfouCe1iySgPrDw7Kw+NCsOb
Ph2pNExFeVu7LnxuvaJ1urTmOg1O1+GjVc+U3KAsw0d9Ruf2etZm2x9vREKVAO3kmB8CjD+9pU7L
b2WaAGL02GeSy53puz9+RUKRYk2IUT0hKWn2sVcF34Mp4HeCEoOYpIIfqac0qaGwmCTntdKt+9ad
dQdZ1Mqvaqb81qFh3esRb+oiSGb6Q59lqbl5y5H7oh5e+tLFvzXw0i0laV5FqcbwWtfxzgjYpu7Q
N/F/zOAgxzC9YmnNSGGZdvw80nT+/Y/v0qEoL1UJc4SXPgasqtyOOm5C4TSw+THUqfkOFPEht2vU
WdXkSz6b/DbPIoVWWOnPMC8UaYyBSEWAsViHTZ7pa0AMPuK8jH/flxnQyUo3Bft7jlBgU01+v0Iz
1Re7uk6AggqtmpZWa4ozw5uN/gGlauRvhcuhHPUIVzx55YT0HxbE8dp6qAaM/GGe5+TMiHUop2nT
OQjp6daOmqiAI4jVwASBZle8wZndoMSPBTbWl6kM2gMNSm1NDaY9UNse1jFIXSqxfuJew6utQHrQ
R3yyC+CgCOgshawDmPOTA5bjwZ1p0NUYafoyUr2GRmFy3X1latFlG+sKAFxpNs917hQWZa5mOAjX
pACg93G+6+nmtzdeb4XjNus1567UVb0K+GcrA3U38CNleq/IyvoXoxm9A5qnkEJA/zygcb2KqC0Q
9vlxhuYvGB7LqasWVKTcmz4U9Gope4VbSlnB3uetI6TCv/xI/UaeFxminnUBesteS7P1F66UPjAh
t9CoU8n4jOJDVfM5CW3PsJFJaYLtZZu1bfrQjZ6xhCrSnht1IQ9BGPjbGq5Us7KKNi2XKtXqlWMI
tdZI25GrtPYuR0J3b8SF9zLFAV11yoQe7ZuokIsmab1ZMFOGYoMpRX0w+goZhZ8Ot5joFg+dDrUN
gdtAEDsgSwPdBTBPYPKwLCploLzKtQNYcPrNNuf0xWRPRH2TNSGz0eUVa248HwecohHqIOCIxgze
EjK6PFtRzlCHIIr0h1aVdk9tp+0POag9C9EFp6rVTu4+QAazjRVF5YWdpR1y6dErvzvWUJy7XSI3
KCOKmjPDiClvJKFBUAZMd6VbRM5r2MzaPX8MvnkyNZ+cYqzqldlP7nfpzHBvFMDyMUk9547l6ZyD
avXuDB/+coEO5TpL4vKABn+8baU3igVolGJv9mHx6ItcPmhh530XUnckAjDTSdhCGL3ZqJh9zp78
8CWPK0eBIafIs7KqtLgrzCirDqZdaucMdWXUkanbvvh0E85GcmJkUxqfWlurl87kk6Q3H52nb8i3
MphK86WzfBpa7GZLc6oESgzL3Uyk/BtZO+p8NHv31TWUtRw8KiTemPMZ5H2XwzZPhqVFv/DGR+26
q4fAu+wTRJX6ZMUH1KTEmFLnPMh6TPJEkWUzRNnVr0onoETc5V61QxyDnXrvpBdurkGi4pvNKDqz
0+Brx886Y3E5Oy/xm6WIGm/rxqpQiylx1NmkD80y4KhfmJEZbPsR0ahBtHhUaMGWWBBoV0hE6BMV
Eia7oRVLLNn6a3qv2W7Ue7QS5aMNH+WJR19xhqr0PKNSCZ42oK7NLq+tW5m6h6jJcdFW6YvQsuC6
aBTiFwOlUp9R3m/Q1l33qDRLRA0WdummKM78kPHAiuriOnQJCBHu1tBe/eF28keqn6k/HB1XovE0
LLEySr296XtA3S1Yo4iQOKYL5/kTNp62fg1TtjsDfjgulQpe+jidFSv48i1sn2ihm8z0IgqtighX
MDTu+5WxSkgbrWVVgcckkh4WzUQS0QjI4bEntJWd9NoOZjIqIh2Lm1L09aXdU0CZ3Hz6XlaV2Ble
0B9s2xIb6bQaEZKnnUe1Uf89J3YhI560QNy26B/Lntqa49S0GGKKqKLkBgpzDL5KC8ZxNrBnVb7u
Xdo+hpsLP8mqfRobHQipqGGusafAm/mteewm4ONb+qrJeFR0rr+ktEqoJgo3uqIUnRXbhtI0KkMZ
HS0Rp0hTwhmcbRY9R7oG2W4VQZ99ndBNXs6iiHyZ+HHythKt4cBeAiZ3GKwbT8TqS27I0UMVVXgM
7YHQ06QeY+bP+P1ZLjPZrNzGk3sqtQmGI2luP9Q0el+rohXRPumGdlsIyH2D7slDKmp8Zr24s4ZN
JQ2IMaMo9NfWC0W7ZHcGq96w25oLmgLDlyLRk6/K7RHfFhkPqBo5z4ANad2todQAt9cW8KWVdt/R
o6DN5ac3VsJJRF3fkdEqGWL/omv88gL6e7AWVddtdVS68Kqg1aVr4U0mCA26pF/GsOufAzVmt3nn
xoeQ9/DWMyaOv45I/wFBuUr4ebq9Gqu0k8vZyYEIxHfDTeaV7ZkmqKAOvWdUSzPlN1g4XWRe1XRI
JcHkqL74kEQlObUTUMUI4mvlNEUDVEu2KIs10KK9nORdN/r+FyiS6SJN9HolDLe49Mj3dnmZ3tap
bRzzMAgZj+n9R7yfgG4UZsmJAfmSlkEd+BeRO9mIjKDv7SoaOrBdq7y4pEk7XMeaPrMMkyG4VaGf
3Plj030f2HyBMFEOR0A7ekHECUG3jm0gyZ/YLbjaxJERLNLMY1cNbMg9iaGyjowzGV7QC6e72G2p
EAyTp++dKT3wShbhWvMUbbfQQSO6KttC/04kTYuxLGZ7xcgiPbIFniAUgJvroPaBl/SGLx5qtpTz
rnO11RAM4cFAmgdfutvrre3AxygG7Hnt0kJ5VxsHVAcwXXl5qquB+hY0oSa4osOG4ZBv5HCtCrt9
iVJh74mrTbGKQ9tOV5rsywvLVcPGgaX90mpNcDbFvnwNVZgUy3Gs7UtXTzkguyoyLkitqmE1dBIO
c9QC3VzmkNnHZYKN9XHoTW9rpWOKxjBcOfYMgR4L7xhx9CNatJr8BgpZCWTbsvNsUZGdZHHcIw9W
2g06PI7IZkBf5ycRcjN8emm1rposuGOTum6ohC80R0AZperg0EVdjfEoVyJygu9Znd6PAi2ekejn
et4ghXZhzyNoNp97FPKg92Dgto3vLMLSvulrJKdFufZk4x86tm2P00UT4fWkj1C2QKZVc+PYOA9U
eElyXC3CBGzsYKyzaq7EJ8AhHesxVOUW3f9dDV8DrFS7ib2e3o17rIqSwjqv5TbvYwrQ4Ug3v64s
oGZUH+IaKCHiAcxRp21ig0ynNwIijIbXqgo8Z6Mpt76wGzWCwvJA7FpN9FjJrPxiFEJsetnU57Xj
+3sgThPMTrOydpPmYAjm4GX/tyfG4oJVy1Zkuf5DFwbTvVADVQcNFBGFL7e9rmjz3MqggWCX6zpT
IHA+lTXdTZ1xdLMa32dK3EsLQQ+Y2d46Jp3/NEX0aOg9DlvAO9hEF1MsGMiME6iVE8EpwrR9kOkV
pwcZJ0JMQereO9eNjuyiI1ABdtn7Ky/Tx2YbVnl5oymj/U6RVl2YYFi2A5qVrWJuegOVVSzJ+cyj
m/pAec2gvnA0A4inJTv3tuqc9piE7kQ4Objf3DSkm1kKYzkQWC4dEJ+HvC7T7WgV0cazJudFM9pg
iUls+lSbArJ4qseHCjuehVbrHkFu4jyaVijWI3zxfZqHzsYakYgssrLJrms7Ni6sAmG0IYpinfWe
3I2j09xr/mBuWs2U37Iha86zcvQuB9EkK1ZJeOeSwr3qgxnm9H37+jwtDH3dWH18sKWyz3ojpl2T
ZhnNPCwKnnW2rfWYsF/V41i5yzBWJB1hY62qWE+ezZhMPEj94CrXBnlO3pGujShIrjrV+98Gs9Gu
qGua2EgK7xpRu3mVUJ3dOISiu9TXnPXk2GO2cJrk4EfWM+bp8TbXmD/Mhj58jYNKXo5Cjje03FhI
dEYookad+bWUPLnBLPw9Sivskge9ug1GR8OhktmjQDXVyohHTJ8Kt0Wv4TKSz36G2AMMzCzyGVew
raxZloNPKZroy1RozO7SlxQuEfFITzGIJ7XKJgOtUF7Q1Q6ZYKIKN04b3QiSMxcoMBuK0b20vuhW
gDyLtamyCT5dSlgirOLcczq8EYdSO0bmGK6Fk+tr12n74zgF/Z5acr18C1Ez05qYuCinLwO1WLax
Kr+Z5spyW4zDutTj6g5iZ4m8I9iSh8fHsO/lglKUuR3ToGXtVn5KkNkZ60lDz9GrlXQbd4lpn3Nw
i4IKYq6aTVAN7v1YTZIiZRhs8tQKzobMEQD9wkTfdBx3e5ENKDebwAweBySst46mMZ9jt5HaKNdl
RqQIo4s4tRgQCr1e7HO/V9Xyz9tFl8VrfttUr6/N+dfiv82dpm+KlCMKwuZ/vP9j/ePPwauaJYXv
/rDOm6gZr9vXarx5rduUb/1hPzn/y//bL/4jUrwbi9f//m9fv2dRvopQiETfmp8bOoLxN5SF//7z
Fd7JG8+/Vl/z8D/+5zuo2j/f9S+Fo/GXi+m+jqW5xX/eZIz/NIEs+ZdLrMAYGXPMSAzn+fd/NYGM
v3RG2HRdx0cbcSSDfj81gfS/fkwO81VcQDCf/LMm0HuBI8PP6Iocg5+DDzRq4pMW0Exa91DF5Yuy
rbHhJzFc6EqLj6NldEuKebhupc2TpXXGMqzr+Joawt9ISqLVT0/u6kfP6WeY06yj/LkTNf8anieZ
aMACnoB5Vgr/rMwVRR83JnFfHQBvLqcKTVDekdp95g1Ja+30QkzR4HYNlA7r5NOpaMxk6ZqiI1lA
FkUarzvTCgTYZwbNH1xlFqYyDWBISeHwdD5wdA2jnqoMrVs7rCJnmos42icuj6dQsfmzky7etFxJ
zjOaJ44bhiIqRYFFIXCrfWu3wZr21a7cN9efu/99eENSChOChJhVt+8/n6ik0WTQkSKXcfMHp8vM
ZVGA+Pr9Kjg1gf5xR57hQLv1IAGcGiwZlaejf+WO9EP8Pd/Lr/FGH7bWSt8QC5YbdjjtExeKD2/M
kwzFoKZH83j6SQ19ENhNphakSNp2QI6+BPxSLn5/Yx8sbx4eUmaao29AnvePT+YIkDgls4Xwkqu6
Q5IghlsjtNe/v8w8N33yFjEPQCPEtWyazqf93KwsPM3ymPNgJiUHuO1E9hPBIfgfgwTlfiD0JyNK
vatgrM1PVuOJUpqPTrAj8RSlhagPRdr7W2yFmVSmrnIkxtW4oSHJR0c9cWH3eXohxWDe//5eP1j9
XJB9lY74fOq5J6u/MPukqOfV3y+Njf8AmHCl79W+vxt31s3vr/XrIuFS84VoW+nmL31yN+rKLnBI
2Ca6WFeT03sbJInJj0Py/2iP/OsTpLXv0IqHYmDY9pu17E97ICxbZM2+Qe5roDTRvZLKsVti9VJm
o/Ul8ezqMyPoX+9rFhMYb5svbvImWoOfd11lUUmT8+Kn5MMHl6u71reH1e8f3q9rnx3KYVUYSDsx
+z8Z8qCMn0dxHsPmNraBJxGOfiMu2vz+Ih88u3cXme/0p2fXSpmYkJnzhUu0My2KWkV7KVv9ehjc
bt9TgPp/vKv5F/rpgpVAoKQJlnvQGSQLlkv/lcOyS4NPIJUf3hkSb6IElgSuW+8v5BYqJ2Gvs0Uv
a+MZyZGx8wsjuU+It+HSd+kfb1X0dnH1osHP+AVurO+vN5W1Ts6NoszOcV9t9ZUZ+U+pqX+y756u
CspjQCcIcjj28ZqYI62fnx9irDC3GWVY9FZ6lJPSv9TD0F2MBoPav18ap14gGP8QWUjUNgBv+f/T
EKeZTDchkZg333i6bCurfBhTKM9Mc85Jf6cf8TIVV1FdkjtbklpyeT7QHDJ9vdp+8rvM5+RPOzTW
BPMou+ewb5lsmKdxjhj1vDYChPbeEKJaKBiOsEq3WpbO6JyJvpoOWt1rK8qNSEQVGholrWqX2z3j
nLqdBXTTTRupHeOnHUKNtStRD5t985n/w8nH8+P3nKNP4K+wXE5PEpDaeeZ7iEzRsC8cPbgqsRI1
VH/9++dxcmC9XcYVqJfh/hB9njJmDQQOxdhmFOnLsXwt0xLNmj4wZzJSFCB9oo46jq9yDD+zlj15
q04vfPpWNZEelaUdc2FasfdmmIZssE1SbmQiqTgMNLc+Y7F99EhdVBFz2G4j/Tp5saqYvjVjNtnC
dae7geZFxECR53///RP9aIHh3AL5lfXFSXISqBlpLxM16tkiJuT4HgbzQHLgJNG3smeQ4RJnLzu5
SHmnk/XvL/zr7Vns77ChXUOfQ4D56z9tiMi9AclT9ZxVYDCDY7V1A8ooqW594gp8+j7z2XElh6sQ
ctgCXfb7K2m9b5EgcPDP3FcLkJk1IzVmWg2YKFRLnxzL89Hx/pXlcoQ1zJIxFm+ejkFSQXQQYdIk
xwIlv455rhdyYPDkjx+fKxD80eB0sIRibu3d49O6DusDQXWv6LKXtqOX2lr6vY7Y/5Pt8IPPCSIS
o7xIEgkUT1GXrUro7Xrs700/2hulWn9n+1pNo0FWN7+/pw+eHAcX4QX4Y5a8ODkj3bH2RogxatF5
YDWDnJA0bj/dU39d8dacMSBgNEkbyLXfPzmLfjUz0RpK/AKHGUFDdJHFFDMCX/9WtKjUo+Hp9/f1
2RVPzi4nsbPWchhoAiFzaXtMa9mmup7E8BB1Om0C+Rnq+IPPzDNQkGIiRYCN2Pn9LdKlCdKoHrA0
MKxVjNBYmA32DfH6z++LUFqfudFkQqc8WcoQqlPkDwu9nr5bqCcXiWX/jcKe46qcsOqo/tAKbX6V
2aWERCBOlZbF//7G3D435ag424o0e/U7J1rbMcOWCFa1ze/v7dcNH8siUJ6swjfE3EmoqwddKOYO
9AKK5BaziQchMXmrfVo7SfTy59fyqOA4fFgWMdTJtdLBLaK+5Fp+KdBBxAuVMwmFj0L4xzeFO5O0
UQPjYQ6k/SS0jv0o0Ko5CPWLYJOF1n4W4dBjg01vfHKpX5cgu+5c0eAlwx3yNDnxaR6keohVr5r0
156pq6XZ1QXUYVV+shP++knZvMu2Y7uEu7PL7fs10YxlHCEuYYNSgUoW8MMsiNhY9Mh13Br6FXNT
ZvjJNT+4O4cMlkCHUJR98eQFw6Kid0zNYnVUvYscL7D/dpoQOgctlE8C349ujxka8nMbbhdv8/vb
4/M09NEgUylD9azF3hcUe8GhqzFq8dlLPklTft2CMbCQbBl0dVmK7umxYqV11ISogUcPXWpfJnIZ
1bZ4/v2C/+jxeZ5u0rIm9XdPadfZWA8l7jnZAufJpa/QckTFMUSu8vvLnJaH5qVOgCH5lAgwpJzL
oj/HGKi+PKuC571w0pW/bbfhJup235yFtsXrmA8PdeAnC+PURfHtknNNxWP6m7Vx6hwqgnpIspDJ
4EjRUl1MudlvbT1gqNqsD6FKQ23LA56dKLrEfdLGLv7mN458buoKuVbdEostRporuIRX2re6meyN
D5qm/eT3/PVIsucc0XYZfue41U9emqjPI3+0SCnaxAbxqKx1UOZ/N05/m3ZOzzSL/1nt4IN1LDEV
nh8LtCVCzfefRSAFib1Hpzuo3IXjHg3eT8tmHiYZP7m3D6/E2UeZ3PZQ9Zx86n6KHiqLCSPC0Vg2
tbsRCiJo/Dcpw5+/LURf//tK82/yUwxbIKJMlEOIboVDRyjhH3qHluzvV/FHH5VrzuBFMmwGmE4e
HDU4DcC0l6G48dGRxYGVP8tiApccmFjjL4I67jCW4wz8DAv3wWaASz5Bs85YJ8mw+f72+qL0WiZS
88Xgt/fUrSEP96+/v7kPL4E3Po8RvwRMyt9fAjc7zHFKbs6Ja7FiTi9a1ar5JAP4aEEw/sLpKub5
y1NbPAN1Yhg3xCm5aM5j/cY1ol2s9ytffLJXf7TheLxPtuCENZjwObmd1CMH9QUG58LR20WSMkBR
aebGyPftdBXXDHKhLiiHbZwfQxeMrEIQZfTK+2TJfPBUKQwazlys41c5LaF5VTa0JXIhmqpoiJRr
/d3E9ief3AcP9d01Tt4ydNCIWAdOCsaA3UvNzb+5rsWMpOEvYz/9MxvYeVdlxortg/XIWjyt3SZR
bFqQFJAujMlGH62nOs0vqrD4xOJ3/p3fp27zZbz5Gjgo0rt4vxpdHAVQwZJUadYZYsNF72Da9+cJ
FVdwCMzROuJZcvo+l4iRsTApqAQqQS0m6ot12VioUtI03vz+7fog9eVadBHpG3LKOqc1BLcUXmuM
jMpaZq3Fa7re1lUn6+jIS+YdPbNKL3w3RWzIpu0Vi9Zm8KMSXr6j+HBXp7XTfLI3v7nInz5iSZPS
JIZnku2U5ea5aSmUYHNWmBQyfmTHTbhkkl6JRYhuw1lx0bTfVS36r0UAurpiYrpoLgP0fV8CzUaI
X/QBLrNOJAdzASU2bdZodqi/Vb6NECcs4k6uUOpkMQ4rQ3emUuM/OTuv3ciRpVs/EQEy6W9ZTt5L
rdYN0Waa3ns+/fmo+fcZFUUUoQYGMwM00FHJzIwMs2Itq9hA/SgiOhwts3dOH+Xery5sU3XvaUz8
bIdpVkemBZ5fqFZqXqilXYZffixMIu6JWF+j2CLPK5hlUY62j3iGY+W/jO7aq/KVW//pRgJWQkl5
OsEWwf1cIaDwo9EqATEyqRD4F0VpVq+u4dd8BvjBCtTcwdCvBHJzhqT3i0kugXIi7WDc98wLJDEz
+ZLFEwEkyD0ku+SQfpskcErHuBX78F3mZE0JYd7JeTdKfks/FspWhQTt+JqmOZfLkhLSGHVofwkD
hkcJtktHigvlKmEQ1ikqYF52bJMVqMzHAuhTKJCAZH86fcEW3maGK2nL4/FJA+bLr4HKlIqEX2Ia
+zGZqjBRI7WbokzdXdGVv/SicR9Pm/zs242pMk3wRuxGDiyOF+/WoMAA21CJtMufbWtdgL7+GnE0
39ewwBRzVnVrqjHNIg7L7ULoGijmAqy6hTL6IvDlvTxGv06vZGEfJzsWm0WJghsxiy/0RGa6SaUE
aJi9t1FUhuYCZZorOqPo9I8O7KbNOx8Whcp1YKJ5HDXz7vRPmDLrY29Exq0Tr+ORyHfmUuAJ9zRz
S36BKCGCi5jVMNroRxvoZ3VUtRuik7fMcBn699QV1/z5qTmyzGjuUehIbX5kspAAPAWJ7tSNdNFL
tDKA9kd/4Xe0Sa+b7YSVbZ4fF6ME4pw+siMNPkNsjaL9bKLBXmUfnn/KyfvQBpIncW661rOUuOWa
JopEgya2gHRXkIgAkozKb6c3TPl0/CczHPspcdQpLMxqJXZvSBWzg6lTbofNsEu3zTPXz92a6Ovy
NFwY1Sp586etejdJ1YR7bgPQmH7ShyjftcFhMu5HgSGFuMG/iEekm6wvtvypyEwLw6WhQwtP2hzK
MCS2XygTEjgYz7PYZED/Muv9lSdi8etNZXCbtjuc17NNGhN3QHcI9E4OKwLJsxOZay/8kgnq3rQT
CLQp181iKNEoQVcWQAvbsSZec6HICbLX06dg0QbVg2kGnZhemzkoJgNF4Ls8AIYAbm4HMCqrnb4S
qqwZmS1ER1HZ7+Esc5rKPoeY9UrLVvzssgXK0CplK27MzEKtSxotK2IhVYNjI1XVb7murdhYOrwA
O8gEZAqLcIMfH16lcBsjlvHlkTXs+uZP6BVMzpi7r28IvWaFmWebZ2NeCc662qRDS9WjTONHau83
kkSL4LSNpZWQWwG8oXRJsW9282koxlLcETf7tCoamrNTblNAGvag9DR/tqetfXrZ6dzoNF512BZs
GiCz7wa2o/Q0i8ZrplY7oUqHrIFMKczPc1hk7TVZtc8n4dja7EALBeIaRaHlLEMPL9ffI3XloVtb
zuyoUSfJmsSkBQGRjQmXE4zSUH8w6cEExYOXFdIu88e1ysXnHVOZqprwS0SkU3X7+OwlBtSGJSU+
WnwGQHVoAguj/V73K4dv2oqjR5zzNsVDk8A2jTcxM1P0csXzR6iXgNnfDJbMyBWUgHcAErIRvADz
rafPxsJuoeNNog+6gjBpXpItQiC28OdQtJAC76y1td+eG4Znf2HEmlodUykBasvjj2eWouzRGmXM
O1O1Yu+qUTtscBSwG5w29DlJ5KhrAB6AYXGFPyXXhhmkQe8R/3iZLoAJwBoWxiZEzDUDmKq3rdJw
TzrWMlwrnSdhqu8trR/OatOXD6d/ymwnefdg9yRjBdNE34UDf7xmvSgZv/JonRZlRLJKJ1oe98lE
r2uvXO/ZFr5bMgnaBcURKvhzXRkpUfSKFIokvGcA29bv6jpZWcyiCQN3CJLXgCtoFuHFQdRnhcZi
zE6/knr3ygyjla2bXbBpFcBDdF4QWsD0m2cmKsFEYopUlUPNVmUCwr3NmpAyHXzvpzdmHna9W+K5
5djTniUtmAUOBu3zKGc6B7KpVmm3rSlCBMkZos+2bdCX13VUoq7dtDqkZ2mrPbiaRlLo9rqSbZXS
Yzx2GFUKcJ5RwELu5sUXww6yaqSReBkAjQGaBHh3fHSkTvdglifiSKATdyTVvjaNbGVHlWmVHzwN
RqiC4s84N4KsYe7QmG8xauCJhE+BLG98GU0KC734ztgamnEOeP6nLUZwmvE9DKprdaPJjX0yPu0B
z99UlZ1tdpRDPJ1UBD15W6fb3LAsyF/CobqBaaf6JTWjfohMOF5P7/ynIzYt+YPV2XdtoiCtBwHw
BczPecHMMoFpflXZTPCeNvTpuswMzZLBXuDmIhVCbTvVmU7o5e+drH2tvvfv/n1YzPQbPkTyELIH
7WBjIwjquyYaKfY82lP1+fRSPrkxqq68OBp3hTTFmuOs27G1K6PnLEptf133ylWUoBuRvBhNvxLd
LXw0HiKSdGo+78jx4wUF02npTc5EABFOLoorN1zLuBYOAA/DxC0F2IQe2uzYTdrNfjJiYlQTDVLN
8Jw4IoKXo06+9o5Pu3NkaXbU4jE3QbsRcLuG5KJD+s5fGQCDbpycgTJYh8tJYeT0Xi19QYITmqjE
leDrZsurmJaTcpO9sgGy2rr6wuTe14rX/67rg4nZuuzQNeA45gumgWo5BtOfeRc/xYm38v0WdorH
Bj8IJ+r0jM9uUOGByAE0w+xOmUITGF/ESnYPicrK6V4zM79EIzQ3pQ+IYGxg1Ol4fIbGqdcwMwv7
crSY6Vd8uKotaBJwCZMVWwTg+2LrnM5KuuLRF9dCMkyvZNKBmjv0BCAoMiNYGdpyX2vW3oXDkAf3
Lz6ZQnIERRn/AUV1vJhKL9ImHSTKlJF+GEejcIaIf5XhWuXufRxl9kiQTP5naRbnQ4Rbt7qZ5gx9
ck62WitryWGw7aG9QB1qvFMMWmzErYZxxUsa3vhguzynjgf7d0X55tBYdfGQKiUtqWJgRP1gRc34
IjJtaK7s2ir0b0OqkBWhL+N5G9X1dH3lWy1sPJxQdAbAclAUmassyqkpDVHJG4t3zXbFUHrnWpFI
X7/2ZKuAD4nNkJ+dl5HainzL16c76YnHKNV3YSu9nfYs87h6uvfYYJprGiBSSUqPd525wqGvE+5j
XOQtXPCWFz9KigqhXQHn3AMUlhV1mMhwpinSl4GRa9mBGyp60iFP+CUP7rD2bRceJk4HmBW+HYVA
eXapBOSaBaUsngvrJiOIkOEhkNwNUxHb02tf2ER1ApBMJQGAMvPPW0/YPT3noS0Gj7H2AjmptBPp
+WkrS7dXmUYfWInGP7MPLKywQROWIB4a24MfMdrb59+0amVQZWEtjItM2BtGcYBpzawUINLlQAXJ
FPrRm2rEP+xJT+3LK8EGdxJ8OxifOfIxDhEfaeUid6pRpl/jJuGraGX90re1ZqUZvvDRJkz75CQm
qsl5GaV1aZgF8eQhytz6peQ9dDnQZnyrvW6thrJw3CAkoTwHLBy85fwUWI2plmXBl4uDLmTIud0b
/gizT+ydNyEyaKe/4cI+fbT2Hrx/eDGMTo9zzaAxogRQvpjoOutqsyZBsmiEStfEZ0iXeI4oilTd
N9CFp/I4Bp6+f5eQ27uWXz+fXszCLoG6mHi6dVqYyhyyULaRoYQVviO1YeBW03Dct7rw7mD08r4o
DjO5KbIaeiCoUMEqNEvtpJz5f79lSZ4sQ6sAXYtjGvV9Htjp/vSippsye5yOLM1irTY3KjfwseTW
7mA4KkT8B4+JxH3QC+VQWYHqIFbV/nPa6qIfFlP1npUyODvvmEHZVpfwFJM4CeY4W5gOAF8k46YB
Lrihm/obdknvtlESIOF1BLkvuuC7IjRf9TRck35duhIff8ssRkMWEDLCSXWjADWEUMhV1F0y8XI2
wAd5etmz1tb760P4zytuMjvy2QVDzkGUhq+nAKLubN8VzphEmpOFmro1Onk8gxIhv25VA8qcpBlX
vOYUaMz3mtSE4gc4Fnzz9CE+3MamRDW4l7mNQ9WNzJnqFaqIrtt63xR36N+Eb6dIQfjlvZ7XQbey
9qXbQw+FfAJ0FsVbcWwcnmzbGCW+ciP0vW+p6D2av7u63Z7+xEv1AA6VMAFMglgngzi203qhCKqB
5LhGPuXFC+3gDLKBAL5xHlck8oy9W+PPdSPyoPVPxqtaVqWV67t0ovBFKgh9g18xjzJ0U/LtAg4O
+qabsNiZPkSU6GalbbuSPC/tqG5oAvkoXin4r44X20F6GiCNxu0d0CJpppluu/GNc4++5WbsYNmF
0i16biXZfjz9nZe2E/GqqRRPf5FK17HlmoMMuRoXWNV/RajYmVa1IfRaOTRL3mmSMDaBZkzgyJl3
Sgw18gQatY6K8guMwSoC166h+ruqCSCwSvpW4Y+E+HoKPwGb3qNRlcHsmVlmnFwbyVJeFMWEI94W
3Q6ylnglVFo6JYQw5LnE1RiZndSMqpVSDCzOdeXgpxgG7xkoNsq7Qh43idIZu69vGTVPZvYolwGi
n7b0w/WPRe57ks/NCFLzuXeVs0yPvw/6sJJaLz3HxEtgQSi00qSZmVF1F8pyDzO9Ke0pyjiyu6Ys
v3Tsp5qbrgrwO4zPH68EEq3UgvMfE2rDpFkMAWrkjEaLFIDbe0g3UaW/aArDiicKGn1tAvDz2Qd+
iYPBg1saM7czVwYdLE0AnRgqL+mot4Hi7+mx5Y/C79qz03v2eaWYApCBJwMvxgDO8UpLK+2MUGfS
xw/b9o3umvSE/IMc7NOoU87DODPFRon1/lYrNXigThv/XGGecKYfrM/uAbSqYQEFHAuNymetSMWd
oQw/1cZ6BVNYbvNafWYe4zLS7IMNm9Y2jMLyLFaRKdUbwaX1xeb0L1KnnT1+wqaXmvB+amSDh5l9
j4ozkeXjBOY0E3MDs64GB2+AfwUchjxBHZvhzwjuOUaU66K4y5gwD6DNQaTDUUZyLRgCMzBnlorg
wySwwuObWi6cMLINqRFsuOl1hc7Tb9cnTnaysrd+eWWV/oMOqvnMeDxkbaNoL8ZM+OOuDBvxxjuA
1E4/muhjZGxgD7eRNFyhuZTclii2Dk5fy9mXr/L0GTj7OqVvBnBmd6yXQzRlMjZGKc2tPw43pdHd
VGnx+/TnXjroIHTBAas4eUbAj0/faNRGUrXTPbNaldk5IB5Qk8P+pgUrocl7NvVpYz+Ymi7CB+eE
ahOKHemU0UXhpg9bdRvaA2oO+a1o49IpkVBzPDExg+eA9HK7eQlb82eTqDmRK1I+ouvu7DpQtm1V
ehsUP2EErwp114IVrT1g2E0ttE0wRp4jp3G7g7TQ32W1ftA9e+X1/xzlsTmUfknkpqbE3M+mdIDS
ZkpOi7BLfhJQyo6XF/3WjO0UXtK2J8qsDcMZFSdzveFwes/mCC7erckwjtGiFzpRixx/yRByqarJ
ybIgVJY3AJ+bawkt2gf0lu1N2Wlv1uA2h3SUpa0BawaaqHa/Tws4YU//kKXDIygek2OSlvF7jn9H
qo4Zija8AymqAd8blJ8KRKvHUYLgdJRXXuzZN8dHMYkDRhhEPjAXnPKxMYVMvm8HCMustoQsu+6j
6jYvzLxHZyXSu4nfCRLYBGFUexfwyx5L2avuTy94/uUtQeGDwBbkPFAIqAymH/nhDHvoH3m2hnOS
G9hLx2RbGiBoK/lCifJXA0RbFsAT6QON1Cv5pllFEs2zqvcfQN1MReyT7JGU+PgHdDXKzorfUzhX
a9oC4x6qsv5SNiv4rKs3SVG2Va/7TlWJQ2+HeCYLUlxG3dZKJ7MQ4P13AAibBh0p6AE/Of4dNYzB
o9VPGDDqa9tJVP1O1/P86fT3nr2N/35uegTTV2fMXZu9TqMrgbOHPxFIOHKvdWUw41jbZvaslwyX
DK6c3Sl9BpNzAMfoadNLCwTjRJPaAuPwqUMRdBKzWNX0DOWZdakgeI68UyivRPezAPHfBdJAZUoa
QMOn6H6Eo1qHWY8w1CvRRyqEvysCK+U6N82tblZrhAHLB/g/g/OyQwk7nB9P4E+9yCy4E+o/mRqH
1yXc707N7/ztIvfwx5WNYJN6CiRqFR8areS1Sah5EvfvyikeTqh0gSedZaqGBsdCmgwc5LxSz8NW
g6G/kuCfrHJ1X7ZAzXPRDN/Rb2svtNrvb5Dhke7+Yo8B2zKyMTF32LPfIEXIqIB5hY9P0P6SiSNq
5OdP25j5yP9b5382Zg9szGi8VNScI30M9atyMJODolXqQWszecU7TX/Vhwf2X1PGhAYlcv6cSkkN
cVw9mdLATP9jmVbmAKNG+5EM+QdaTIgZUAX49hfrg5OMSzLxo81zgSGvmkL3QBvZQ6nuLSsb9+QM
L6Ul7U4bWroqdHIslcIzDYp5RtCqitvVGaxJIjEgxiOgQT+xLl+LwtM2voBm9i/s8dpMw2wgneYL
09QYRrZW4pEtU6TUXa1VoHhOZd9JG0luYcAAfLcS/C7eChI4AKl4HJzCzOFBfJoFHhrgThxXozME
sKoWZd/dlwrfM42D8TYoQrgWkRPc1GNq79vejF5PL3zpGJGNQ7sGkJTa+My1I1+hp5SrmV4xA/0b
8mFoztIERNElDyobRJkbRQ+2PGTe4bThJW9PtV8V70nlJ6I0Gel1C7g6sagWvnqeHD+ptf9S9L4B
C6iqbFyPR3eENnFlwQtXlA6DNmFMmGXW5oMNlSfYZom2iVkGFxYM7bt4InHSvKZeS7dmyc10RVkd
JHAgFAgd51F9YsgI9ZkWMF1kIYO9VMBfDMBZla7KMEilbWiGjEzYDHjA4d8K6clue2lnovPwz4DY
5OgorhFaTuZFAMO+/PUJ5cBaE1FOsJ5ZfAWdbOSV0/Ra0Kmg3UTCrFdY530FL7zZhBuAGwEjHgR8
w84v2nGNZGDpaeKJn/i7qCJRN56du1TEkjFoMFAFXWxdIiw/1E4H8/JzBE0t2pZFqtyNrdz9qaAj
Fk5ZQVezlQyIzc/G0s6/7tco73EDgFFSAZtff7/Q+s7qXUrG8n0yGgeYR7cS2gKnP/rCokn7Ad9N
VGwcizloxacwrUZ8aqcbZBUuodp9Q8LFfyjl2lEgXS4KcxvYvvUKHSIhSC7n2lZhbOP0z/h88/gV
oM0Ad9M2hUPkOJoractyoae6EWnvVZlFd54r3Duqkige5LX2o4df+QbJz2blyn+OsmDGBE1HvwXk
FA/IzHCcd3o6hbONCH+Dr7hifGOl87ZgAokP+g/UxeBRm0fMjF/BM53gVdqGHrAojD/wUK+FMwsf
kCB1AsROVUXywuN1RG47MoGEmoDG6MyAEJaV32kQ/gM8ofj5Laj1qnEAwhRPML4ma1CXhSUSHdNh
BjBkQp41sz5kQyV5PeWYVDfRcgZ8jhZSoK5ExJ/dJKODuGdmNLmgbMbxGpHPbeLc521SRJKC10CP
pdrESWm+1kkv1ipTn597Rgxwk5SAKH9/mh7WiiCAvwhPmakpPPZq/8r44oNhFWIHib399XPIkPLE
VAj0YRqXP16bnTZdnZo21hLORiLXjwG8Pqcv2dL3o6BIY2hKmD9FSgqYCl2KcbDwMl/1Rki0GQao
Xaj/nLazdBqoI4KvZaBsIgM5XkurlHh3Gj2MN8W7ogkfw4rw7LSNxbV8sCGObbgxGXpmYyM1u01r
G1DQwFeOcNRpM4uH4IOZmXvQtb7MAx1tLqFEBCRjBf57IzcyB7wN/P7V971s7R1cXJoODpqjx4jI
HDUkuZreRS42u9aDCNoLAyosSN13WrHGobJoauqUmUyIwCY126mBrotrswRe9bSyNkUfFLsqtvqY
UVnPfzz9LdeMzbasi+XajQwqqEgtnJHdXpJ4+ZueIauVTVsyZFK75CXn8H1qoocZdMB5w9nI+/4C
eekrhKK+q5W54o4WXC78M/+Zma7Bh1JMUvf5yGwKZuQAdaE8UvdyUnabOIVWbdTc6KDocXQp8ZCf
n/6SSxeM7i5PCeGczb+OLQ/aqOgQ4BOn+lF0laoVtcYmXAPJrVmZ7dfYoLcU96wPPbVrtI3uE71Y
SXGWd2ri/KT9wF8383pW3WhDbUwpTm2gHxJmG923L8fxizwCRL0UBwlv/s/OPLTMUSzUOosTIdq6
P1DasOl9F/md36AweHpvTL79cQ6MKVKXKWyDcXbu/BgPQdq9hCsVmU9kgTL8+lOoKfEvVRQeqmmR
Ts2q81FR3542vOSqpqCeh5FpLGL840OhykVWuoJvqQMX8VXUyBikV39U9RrF07IhInXcBuP8EIsf
nfve7jUmMTGU+jdjZb52unQ7SmI3Jf6nl7R4Aik0/s/S9K0/3LCOeYFS8fGERFA7o7R+afX4fNrE
e4A33y/4qsk3DULPTwlvqKMSyh9TgonRAHEUJeq3vqGMP/k/1FpVhMnrKgwPIUNhaLG10VYxW9Op
JMuErl9FjKappJX25tK14MOS3tO5ZYBqtpWGrQdqN3BcRylGxTTemaI/l8yVuHTppFL0k0FLgE/9
FJfS++g0fXKTY6ze2xEZVp53ZwqtfWHT//DC5P70t15cFpAQAW4CpzUv2cpqnVr6wMExqmTnaeE5
FYgdYusrZpbOJ7wEzKLC/kRWMfOOAGMaKRh51ATkDlJ7U6e/o+K2DV9Or2bpcH40M3OPfpVUQzIw
WmfXaNNZuvegl2hPnDay+MlwX4qB9t1EgHt8AzyZ4KPu8CYUD+NNVKEqi05EfO4B51lZz9JzRu5N
sRlCB3hqZr64sd0gNIBeA5dSzT9a37AqRfjNmaXUxeuAIOsVGpCwdqDRJH8ROPruoAkK3yn3IN6b
h/auCwqTFCJzSksM52aavrmp1x5Of8ylg8EwLGgwlsmLM/35B3ciy6NRNgEFPG1oH6M8v49NqeUm
G7GD6Ey28hAsbR2lhIm3BhKVT9WEMO8TpKam2EoE8Ox1Gze4o/m7P72mpVP40cr05x/WNHZy5eb6
xDHpimgXaZl1hVpm9BehG2NWNH1o+U0MEcdWvLgzKI5BpdqEyltJruL0vXxFAeTrDt+cSATYIlhO
KXwe21H9uvKsgh1CnPQQy8aP0ozXCMkW9gUbIEdo6VBbnGdaqdv3KKdMI7Gx31w2QZPdA0F0t0yZ
tE9f3hyiGiiymcEGDDPHtKs0B5NWMNkSVWhpqbpxTgj87bSNpeXwfvF8GYQb6jwWhCS6qRRG7anZ
md7BTvOdojfngCnW8ABLlSL4e6aKFDUpwMrTL/lw1GrPqBTUs8hL/LAzN5pVWfFd79Y5d0hmmsbx
xtbNdrKgbHiuteHYQHaXDnTSQxTYd1pqyD9Pr33hQk/CKBwV4qyp+n/8i9KiTWuLriuN0Grv9dZt
1XcHGvs/k7p4+bIpmk/wT2iIF9A0mvkOVwEHggoOzd9QO4da+NZXjHM307dNKv86bWppRz+amvn8
trOC2o64BJRe83+k1G/uYkPK7uh3mtlfXDiYVRWQb0Qan8YnbctVykrlhI7gVPZSEhZncC3VK05q
cUUMqzIBw0T4p1JmGyOcWmVFBhFbsdHJAL243Sth+vXHEl/7n5nZHml2E7jZyAE1rsfGaLe6HiCn
CC3QX+wPQ+DQZPLF+GrHpw64SuL3HauR3OEeSTo0MVPX3mpe+3Da0PR7Z6Hp+7T5/wzNfLspdXYi
TFi86qFC5lv/aUr6RcxABY2I4C9c1TTZ/j9bs8tNsS0YbXsawmvtOyGk+9pbY/6efu6n5QDVx/VC
qkIp9Pi7qaEWjz0auFRR6rdehafLkxJt5QwsGJmeduZCgGrQFJxFMWy5x7MLSMPrK9VBcPYH9c+V
9HvhOONxKZfwVE3jSrMDECp5bGgj38pUxJlnvcpg0HLTWLGytBIoFBSq4eST9ACOP5dcKSIOyukt
VOwtSs87BSHl0wdsodv3TtPw/21Mv+GDS4f1Tmgh9DaOzxTut8g1i1evkKrrwDNNlN9NrfsjYqu8
TTsNtTRmgitqeVUUb07/jsWl8kziIEj1Pr1hYa9WIq64uKI0QyKZ/CEJtWRlsctGJl48WEghu52d
DKuQ65EcOXNi+lc5rWhvjTlm8VzwDDOdP80UzqMXJSeo1sIWN6dAdiGlzaSba7v7Kv4iScQULgNY
+M/SfN96H21AAxdk5zHKrIi0F0jefd3PYYTqoDpJOSnzPCoIFT/E22ROEcVnSpj5O7XOmMn1yzVF
m8Wt+WBJHB/DyIPUPsl4x/WilZON1QfyeGD+uF4D9a4Zmt0po6+8buzZIW0M9kqZ/BhT68/ps7zg
tI++2mxrrHEwATKyFqb178wxvYJtfm/VwY8kFCvokUVTeOxpQptYdj7g0lmuHWUodRKM29sQelHT
PjML45ri8coFXTzZHyzNvhsK1woQYSzJlVXsVL+7CX072tT6yorW7Mw+HoMhUa9PLJGlav+py/IF
DeGfqcqo6ulNWrIDzScFAobv6DbPDpytt7ZbTpsUG93BqEGDmmJfoQp62szScQNVBX0vPBAEzLMX
r4slj2ybzxZl7taos1s1L1eKOAtZO2oahP4WMDiowmdeDbdZl2PBJbVCdPBq3xsek8iVtqWe2yTT
cnyeRNIAL3+7xl20VDn7aHrOt4zYZUEJXOb4jZZ9lscDopq2Fm2NqI6UrVb5+iNKsNDaewJCxo07
GuE9CrvBw6jVA1I2lTb88DNdfzz90Rf3FmUsRnApZlBFO3Ymie6qMkACPrrNQ2WG/aNfREhpqmvM
dxR7+KtmEc2/CP1plPzzgEov53WpyozrKvFoRBsxoO20cYcmdIaxUw6+37bqk1XCQbwd6qaIt5Gw
otYZmli3zyXJPO/SCOxwNlZh8zJ0A0SlQz6km1BOc/cwhoPWozooyfeeZmc6Wtq1K92lipxuRZNG
KcM+UDVfGjl3Zmsm3qB/03qzql80L1faRxEU5aMcEuFf6fBUZ+eRy6SdWwdj9dbKUJIf8kzZFCaE
7FtQo6K5tIYy/SPcsXt0E010l3XvabetbzXfgVYxqeZ3WlXug9gOnE5uQ/luGNzRvEYRL//HJyaq
HkjXgkdIwfTyfFAqL3vU/Sgw937cC+lKleqzghIWpOxDqUMQo5V55CQNVqFsNUS45y3K8w0ytcK/
sv1WgVwbefb7uogk44epxX23bZTcjG5jrdKe1UqO0tuKYmPtpEUTZ7skNWrhpJ3cUSxrKutQdUZs
XYdl0f7K4ggh2shrrEMDZ/9wrouqN57hlMn9H0EIocZ15/sNQ8W2dvDjwtpIwPkvbSVVHz1/gPYp
Qj5BOiuNEUHW0vcaeYd+rFE9RpXqoSvviSS8pTqXG9satrAfrpRE4aHJWvEoDWqQbarWNVHrLcM+
3BqtDGrE6zOVVhuqTbvErgLUyVtd8/Yh8VCw7VVxX7dpWl0PyEQUG6mBgRCFaKijw1FuoMvom19R
1MTeFUIu6U0XdOZWRQKbi1/61vjDErXeHOwQocKruLP57YrZddGm681nJUTVKmAU0Ywo6LUWkrpR
kuJ0BVLK+8KF6oEVjUUNb3A3mNddByzu0MiSdAYgK7A2st175SszKr28Z3DKDcHDIPjpeCZTeE6s
uFl5oBA7IZLHQNWvRCrK8DUKkmDXekrYnOkRItV3oDs9psV73dyOXV4Nrx4oyDufVrgP+0crqk1S
CYPIcMjdP+iP2sX3EHnfnyXc5NHGT5LUv7bo5TBnX/To7lSD1ka7wB6ubSVkMEKR49jcDgChxM80
6eRnzVP6bwHcmNEd0aYmbyV7TPd2ZQl3L4cjQJgkoiXxT4ckTb0N8rGXnxR0kH43vlfcJoA5r3MD
hWMkIKJS2ev12BkOP0CxL7PMKJ7ABBX+thCjid6bWRRtcJYFQc+PSi07CEJI/wy3vDb8ZrAcVtyh
lx1IsbKRhmJEYFz1rBGONilVNz2Ifv3KV3Jfc+IabcQ90pBj4cDaYEfbIYXObWcyGWzusrxLXkU8
KuHG9hT7rYu7Mno0u0I7b9qkrM9TM53Ew3Qusd6k/Xe3MG3J6braCPZFISnk5KrWlQl3z/LuO4jO
EkZvSlHfDY1hPfVJwhPjjoV2ITpJEQ4ouuElq6vgITWiauu5fX2LN1LSM6lQ7ZdCq42DHI+yvYsn
TaQHVMeL4V6O08L/JskjvyI3n1vPq5msspuqv6jKWjCFHA4NXhFKp/ge/ahc2lq1Wj12w2gpDmpp
SbIVcjvplog+vYeQRjO2WSrHDO/GXpptCmToxwPa2tlbqgT9P1nZ0G0jmatemiGr3E3UA213Kq0c
urOYYme980zGk7/RIAzMQwL+TNoOKG7EG0vOdeVR6C3Hh4wverT7rH4Lmjz73tWj9txPDSGnSBgC
h5M6ZlLIk5Xwl5m33Rg7HapK9nlQWPlwXiDX8S2Nq6q8kYCa25yKWP5eBj6afIniN9KZr/ogF3wu
O0JqZhzdakGsv6i+Ndyqvlb96NA5u81SSe23bmpm6haRWBhzwy7QXjOheJ2j93bcIOfpqy+y0iAg
09mSJc4bpHLP0ypqR6YyErveW0OiP+my2m0kQ8sYGw2F1GxLWyuku6hpGVWKYJH5o+up9lZrIlc3
ltLhJ0RSln9sJSqfktBrLXiH8uw1AeOzjU1VvwwYv7hUzLq4CmXPeDVyVOG2ttIad73het+qVskl
ZOEicR6pfbdzq1zpNwIF52ZTKSi8w/6BMpc+dq+RplUy3HdC/l3BxQvfa5H2z1FS550TEdIdAteD
jCqDpquH7MQONQatvEDauKCOrmNRdDe2VZpQ2dmop8Aq3td/Yjus70e/arZVad90bifvu6DfC716
MNXhW9ik+Zkoux8k2NGZDI/YDr0566mOVf1sTAPpECuRd5ElNTh/CBRlb7iSmuxVS/qbyjfzXwHC
8A+d1WktyMGAFMnXEogW0NnQHxI/szaMURk0nNvcARfDOgDeqJc4n47vCuYbWJj3ZFqF8ThWgU8w
yvyRvDHAnl4mXrYN1U69qKxMA/lqKcWNkufE3nItFS+9G6lvTUyNahMqUvM7SG3rpi1EdVv5XXMT
yGp4puL2ngrNKseNYRZJs6G1aIzOGLr2b9do699u3tWoNtNr8mg0wu+/FSAA5e1ot9lDDyBU3YVQ
fnQPugwH9cHgLNhbnRmgiyHV2nJnFaqabH2GnOTrVtH9l1qH6W0vVcCWt11MBdyRvMCWqBjz/mxG
SsW94xWoCEB7rDbaPhkHX9oqnORmq2aw7m6Zi9VvRe6qFwISsnEHuzn6QZEOG5Cg0fEWRD7vfFsJ
cTUEUN84Kei3cleIWnlAqbq+Dceq3ABeABRBM7eRmcDr4+cAOd3pGe8ZLKRu3v+OI7k/5yxoFxVd
CTq9Uq9f6O0gyl3ZiuQprrh0qPxJskCdpZZ0ZroVShSR3gw/W3ARGQPCnX7Tt2aPkpgfGHcBafmP
vCnqN5noOHKUJujOevCqb2XfZ1uy6uZMHnNGH0z/Kqbu4RjNMKBUAyTfMvzkwhqb9kaXR+lZ5bV7
krJcFujQB+p1lxSwtgQtTacrpq0mQJ/EIUfBzM8kRrGUYNgpADZaB3dCqMeDlUR8pciqd2VW6e4O
1hQRcmEU90aEoQQcP6iDTeZ2sMNaxVj8ogoc/KxEqv+RLOpo00ycJ2+6Wmpe0baF5blRQtE6tRYK
eZ/6BjC80otVsY3+H3tnklw3kq3prYTFHPHQN2YvcwDcln0riZrAKFKCA3AAjr7ZTa2lNlYfGJGV
QUomPuWszGoSZhTjEhed+zn/+ZtEtcUeTpjmRn6aeucohCUvft1ex+ALxtZstA5FJayIHXx543OS
AJeExujVUNvnEeUUTIlahF5FQNp+aLr6rkol4G0nBjsjLM0sP1hV3Nfh0lFRRIPF43nI8W0+BYyT
U5i2aj6x44SM+3kU7XLe9J0dhEMz6l409not95SU6iHRgOpYdMwbLQbyjEolls1QqXt9DEgdmGpp
nPvuUHwrM9VNu2ns9r4Ou3Gvde1QnphNzqhDgk89loXnxduyXaxLMS5WHfZN3h87WOQk+hj2tyXr
8i2EE28/+EUc8a2Ks6Rz1HkqCF1oBlGQx2BMeqT0usu2RmNnJ5OsfP6L26J+GNqxM7cl478twm1G
v41uqvoCJyeK4bjBl5aZ1bLBKS0P9oOVS2dvVOTNRqnTXaza1o0+xDLs26DfgazAX7N6hjJ2Aaco
JILZKbcia/0xypdcTdsM77rlLAtsqZPEN9g3yVBRuy9qOTEVbfQONu6SRzYUaAOnxcIb0AKIxo0W
ivyHLhbOXVon7kwarLCbXayNrhsW8Sg4y6oc9g6g1W1W9+pZ82XaX3V2551Zi+rtLcLaD96STtta
yuoonXzcqxwRXFgqNgk0dZ33xZir4phj+PjZEAsTSI1E1iVqTc29U9qSDas5Y0EqvVtl+X5sBu3j
7DbthblQoRu2aHCYt2v5tTHl7EexZus3XSzlqTPXh4n17aZBemtunKo2p0hIXKy3whfqc2E7zXLU
0/Fe9NmgNjPrwFks5vk2r3PrZMrl8K1010vc1ME6SSbRxkPXVMOrx5HbWK7c4Xmapbkcwab7NeBN
16q7WQbtpvI/+qz9IcPQfDUx0tuDqnR6ibSYJKEKpckbV3WjvZkrlOcUDkuj7SRrQZTCj3YuW5UV
B/qiqjn18iJpI20qDTtUtt0Ne6z86yuyYFdhVZ/J89IXaYRwQ25ksNRaqCd9c7XeTbe/nHKQ14+d
srubAsvXqyyxmCLvnXqutr6l1uhizXLu21b4XZgOaOIj158NY5spEKcTU8u9TRvnmvVRl/rQhHWd
JheZtky5F9ruYCTHMvbwbaZ40OWmbIT0L3ki43Olz+qxtYz6ViPXw0E3qBVBBCnMOFh5nnbsSPCq
o6UKSv9gtTX/4jsqf/DE4ruUWUzKwgVPV/3QqsVIonow3fSYzEL2lG21uF5WbObKqUoxbiU/8LRr
xpTuvcm278dBARRMeUVEHZUiTYPnZMvVCLFkMwd53eVk8w2rXRdoB38VQ5mjr2pjN4vRQ6lMm9I1
kektlr/ThiIDIXXn9qFfq56dlgs1Rs1QjzZSYK3mRiGlDw1H8xQWXANKSWtI/E3l9IWzFTOV1cmS
4bMLmaQ3kFAiLHd3WddK4nyHebpfTFEoBBCa0nd+NVk3pa+bQWjNDvLfrst5k6GfxzGrnTu5n2q8
2q+DRWR1WKyzY6ikvnmW2eZ0Ypjj5dLoYT4mJ97QeOOmKP05w0iEbMWdi6WIaaj4o1bgiXEwysYy
0eDZw9g/UnvcZspuUecVs3ZakT7iXy7UvFOYlzX/DG+x+TQO+fQloTDf+1yFa4Zy5rLVqf+6m3zU
5zGq+CoPbSywS4EUtF1s2R19vW7Grd9SwrQ9/3rQdZUCgGiCgaHWpAs1jr8Y0Whmc7FdAvS3Owvp
4oneNhw4IWUF4V6WatgTBkZvnvK8d8dWmiIhuFwlz0nhgS5krp7753ld8yCydXH/LZqJ5gyWLDYD
pc6N0rK29m/Hoo0vZ0tNd11vtQd9xNKKs67a87LS+rN8StfyxpR7ojJUc1amzfAt06HecUfBrrek
weoHsOIEHxrhSjuyitbIUTW2VrzzCQZnEfdUVKbD+FVP7IpUujx4pqmblkNFq8o7k1FDh9bS9dWm
0drgrCnGwjvzGqNx93RGfETUmhdvqO29zzTOuhElleF9niX/EhUU6fl2rsk4f4HY/utVBH37z//m
56dKzU2aQLx4/eM/L9XX8rZrvn7tzh/Vf68f/b//6z9f/8gn//rLm8fu8dUP27Jj/b7uvzbzzde2
l93LQZKv1fp//k9/+dvXl79yN6uv//j98bngsqegnulT9/tfvzo+/+N3lBFrbOh//f0If/364rHg
k+ePXfXbnjqorX57rn677eUPPv71se3+8bvm6H+w6+qw9SFtrDI1YNfx65+/8v8gD53xEqEOcDLw
lfn9t7JqOsHHDI/f4bq9Bp6RywGH4vff2gq0id+Z9h/QD1EWEnKhM1qELPKvr3r1J+b45x3g4vz1
829lX1xV+PC2//gdtulrbJJ0EzQ9fLmV9OpjYPeGQ0jRxRZh4dncyMwZCUmKNe9EubJKTqYZqcat
OUpnWTazXCQloWauRtIYu1wEXSLlluQtv+5CiD9yPp2gvG500dvdbrQYBX6khF/9vIC9vCgAZnHT
0O5qzf2kT0V3BHNUUSyVTB94fao2D3vZJpg72FN1hpTWWrY+Mgoz24z2NH0Z07kXuypW3Z1me/lw
qMt8lVTRa9GnxORtymgegAa2/og4MbRLVfd7u4p5N5J0ji/9MZmrCMlLKvaFK1W5GfikuEzZi7LI
p5SRu2Ic+nbnFWrSdj0OODV/Eqfos8lKm+DU0VDkhHT5VXe0vcVdzms2a9C4JaXgHgkSPaI6S56r
uMYypyV+LyeRXi+XYjvibS0uRkEXdmn14xjfiFSi6J2TSaorRsjuHCW1HV9CnnM9Bg5Kya2F2xqt
rz+xNhq6+KizpdW0jcq5N4Ise2xrO/HuW3vw6QnSbNrovdGislcF1PJxHoPqTJVLswvK9rNNs6Vd
xG5XTrdj1uGvl3VZ0R/szKGSmYqyP8l1z5FH3GQy7bYBW6k2HrSIeeCmYZK2Kyf+/D6JXZJ3LBiu
TxZS5/ZASo249SZpeCuckRYbjTPSjkIZQJT+UhpRqo+z/AR23ItTJQYeBl3Sn5N4l2Rr+dPw/Xnd
WBHbXEGQHEuf5db30nbcjhg/P1SQsvH3LT3W+bZqJ/U5HdKW5nbIk2d/ctgEkH2m7kHjUT8s06SJ
s9S0u+o46aKVBxejmg4wODVukklsZ90UYrM4VgZBcphlZE3uAbC9pKB16ji/MYPau21EFljbXIdY
4fulTeEX7DwX8N1W6bc6qEgEw4r0CUy1RexpO1wZItnPhbJUvG0wT0MZ6dUzizTF83ZscN08yzE9
srbtOM3pHm8M5Fgb6QcLsWR9v7gR7EKZbOLMpTNoAGgJqZqbuTpglB6ask68cyy2OhPceJm8bdfF
ph5plpWJfTfpQ/nE7/QZK40mfnCAga99UlCKE7fO0cYLQRtwXDLS0p7U7FHYJcAt9N9C7QIaxpYS
BKj3OGtAjjwKUhD/gqpvupD9stOt/iCGxUYDGkzRMBpfZ3KjXRe7jt4daXqc3O2jStOwfR0HYQ93
SJKt+Ribtrz0ZKmVJ8nk1/s6V+a9MRo5WyRHdff11NHkjPmi6SdrWubZ6Haw1KzBlPeCHNWvXmXj
TuHWGfWuSeb8EdzNpwvNmv401uok2et92UaLaa4EcCqlIfQIuDEuJSlVIhSYEZmXAEC5vk/Ttj6R
hT0Zu34sLOSzLjF3bm+bV4k9y9PeGRbS9kBP6aSkx6jGUF1OTeslIJ7MAm5Iwli+NlVB3ofIxb2W
utVyMpWAb5fa5JVntc7B6r4f3S9t3gvrGItg1M+rITciaSlPXNXQ4dKLyquYIqaiUXpUVkVa7dKi
GW7qTk7WMXHZJvBur0uqFc0rANf8IX4qVlxZcV02ZaGMu5zeKKYmXXSIRWBtKholOVy0aMlN62T+
cj2i5+/AIAbWEF/UMY5+WfCFCLiYt6tRTaZvGlUnzSFJ47o9U8pRoaVp89bWY4sSsZvCZaxN6ky5
jMshL0FAtW1SBPjJo08rh1OfzrUOVekl9gbJ0wBGxQlhsZ+0oZ3PA63L5Nlx+wGWkNe22y4ts69N
PGT+hjp9rDYwe9h01OhNZjgyL2CoIwiWuO+tgLxPNxv2TFTqYmM1Kx2sJ6ZTbEarScereCV1R/T/
Q7EJhtn3toTlqDgyseMCpKAMcjcz/M12k0/K1XZZ2jXBGZGss9j0hQiaDTreaYflO51vHuBAMiNY
NqMqHzp1VmVues00EoBnwv52YTJrDYCHhTHFm3qwdLFB1QNWPhTBDNW/TmSYaV1dX8S9mXf7YG51
Ng1CwrP71tCn+IgVKPgohrSDd9L5QmbHQMaBFVUYKN2RBzeUUVnSiCBQY7PalkMhfNCvNLDJMM/L
fe/gJrYNVND0EYaUwDFEsw09gwCGIPvRKkC+DX3l3ooggzvvgWrgd1biWsQqLe8G5OjZ3qkgDB5Q
pExtlPiVXO35JtqtbNzYfs4oUsnYPUGz3emh1/JObweIsM0GI2fQ6kZJpW+l0SLAHfiwe8Avek7O
WEbwR0qmoNw3Qp9PYIkF9U6lqXXhgSY7OJu/NOmDZTWRA39WP2iTVZ2lThuPJ2nhk5elanHVjSgC
Ty1ptf26z6eKHrbXbznFdNwuXjC4mwUOq9OCNAnHvRYLfqERHD624BFHhh12OnN5Rw1TXNP+5Pam
5PuJo9nQ+kXA0KRgaPZSZveaE3yhj5pvM09034Y+DrwTR2W0L2OrOevLXn908VV5ooVx6khMSzaG
bKsNDl4sid2RrTu2GPot5RKNS0OtiT56+mgHS+5tBbH3+UYaE46OnFNKOF6VfQkmfLYx25617FAH
yh434IuiC+NxEcOeGOotnq4nnjQZoo35s1bUbpg1pjOeFHnRdxuSlwFXZhbNjn4iTR7NSsR+hCKV
2QXmEji/aoJhCPObWcwAkwETOjvW9ecMRNygtDMMcd9lMke4AZfzHPY7ZRKuCV6+//XC/zx9okiu
vnWvq/z/59sD4hX/h+3B677g5XP/7gugCFN1r25BOCCvpL2/+gLX+MPFGJXMAWzOVms/ZCn/6gu8
PzChNyH5ocmF/rZmwP2rLTD8P3AdwgoW9jivF4Evv9IWYFH9pi3A0oOpCNZhAfo0pGJvGDYWQ9su
QCEZdUPbyUPMnpiEA/t+fjG7wRLfaXlP3I/bY0l4pEo3Inruur8Wa58RNSxBobQ6W8dkGeRm27q2
IBVvLjpWlMKvmxOVjl18YI9hU4Mpp0dGbp/n3dTl1y6EhvmIFy5Lvq2N3VNikDOPf9Ts3hYpw8RL
DI+srxMTUt5+T08vqyGoL+xRIB+mNWkeloH5hwqyIdvoXtWfQi6IuxC1j2WeArYfsymesn2Oq4h/
2bBJXk92/IEE2MfOM4laGylsbwp/Lm9o0AkILyvuB6Mi9q1q1+b1EOaizOTFEg8KP8QBLKg4neBD
axsLTz8ZDpPdDyeeysb6XjBePcV/LGEGNnfBbQOaMWKSGixNpGWZUUa6rzJ/S0ZUfeDTjBcAkApj
X2DRkYboBN1yYy1pcyFt+NEbc5qb4cIERWP0yiNUgc5XTrvxrc6gu6lkiXlgB00X4I7V8ihB2wD8
tKD9ZuQo1Jjj5hbkrHSBNgdftN2IEdJ1OGgJiaEMycpIJfEwHJioqPZcVnAHGdr7rX46lr3Sdo0r
5iSUudM1+1w2aqbwNdXNpOVjv6EWcLrTUvj1oRezPmwTcpqWvcyxpjljiF0t0ew0TC3z2aKwHlXR
mXtiKVr7SvpavNOYl/bn2OwFMYG7EiRlKO0lCvxe4pHn1E5/KgHYN7JrjEe3lP7HcU5o+bLY9GWY
dPkVpbU4Id3X4DYEywNZBVbEPWAYnAQgpIpBP7MCbXqyrHGKavBTbwnqbmcKxJ9hmcVCRWZVmmHl
Gwl/TUtr9J/FeOUVYs0QG4c7OrrhYrJTfUuepukchKi9mZD3smZ/ASkaI6FhUrg6nAICmVj3h8wM
bCYt+MaEvtEr/wpdUcC8Ie6pX4D7Zn2rgkE8JqOWzRetyxXWnXJuNqOLxPoDLqPuGstgO19IwfGH
tRwo0r2LK227q8z2A5pEhkxp7JkfnNbXd2k5JzAyZ71xKK/cZdwGXTfLjUk2bHUCTqn04zjq+nYB
ZcRdFl4l9BWnQ9kVAmgGuxjslom1p8/TcfDgr+w15m/2CZyODhAVttHIEHqQU3wPl7unmoUd2jdB
sl2MRYvHmpm3HPSsCTtyFHpzRQ1Mta852LD1nHaKgsUaIjcBCriIc99Xh8DuXet0yrR+2uDbtlvk
uHxsQU2LfaCbnXywRrrOQ6zKCsPdzmnKAz7hxQ1lwOCcjhjQBKEu1V2tpZ24tCtTMZvEOGnLoCk9
c+qgpluK9fbKhi/BQGowljOtYirFJGqOPd6AtPMootrmo4PdTbLPllrcN/WonrJh0b6NaMP7M1oc
+9GGOVHviXMHwagUQ8edSnpjwu1JFiXRvvByLlwEo0EIDDXZV1YKASaE1945ESwOuBOe16Xzx5HR
YLpVXeezRvbQdhoIHS2lXb30d0utDFpCS6PvbGfrjKmWKm/rgQlumFZ4cofOGNvL1hkMmZ0V0rCZ
jddBSlHb1NnGmSwtjWTjNSrqZn2KDFgc5gFmXZqHXZ5Qi8GruA8wFe2vY9WW9rE1+8ral7FdHHy+
Zh75LEgLE3AtyB+F0TKKvvG0wG7yY2pVLRXxSPaCJj+tiOTkZaheVavc4jLOzZx5TDAZcjum+dxd
ZxppYFR1XR9ESWZU/X6qliI9DDIRCRQ4PUm21cr+2JEdYn+2TIwrQ8Bbr9tqdjsexsxI7wOr/5RV
VmZAwvRGQgntyZwjrfR79o+iiW8n2gGekHws3fP10S13fpaDk6oWpvcWOFtdLJWetcdGzyF8LUmj
eAMwlw3HBAUlYwqSXGE7GcwSrLnytyA9gAtLHAMOt0BD2RaGO4t1LgLmo+W405DSbcext5pPoID+
RT1l5WzvYqgx2p2o7AW6yoTF0lUvqruxFOwORr44TwFOwaxr5JuDgfWaeqhkC80BT8rSCvtyqYuH
pVp3ChYt3dnyXENWAIVhXlEvjnduTxmchqKa6aFhW82Q4gAaSxeHMXHj5aOnQG0KdIuGPS4ndp3o
5gGTgufAhMpkMoU9lNgeuCeD5gsAIqahE48NJp0GWP4RM1uv385u4l6oxoenEBae2xUHXu2h3SZt
LfstDJD2C07xHdC/0RVfKjmY27SUDK1QQVVnjAcyJqiV/cjYJGs+uwToNJvemho3bOfc9y4JoulZ
1SHAl7vK8Mv0wyiCadk4lmJwpBttHhDakaP0TwavPRelpj9lrZTr8oOXgV5AvgrLTveeZD+190yl
9C7CDlj/uojKvUFN5vjgjqquQ5h+881gjZuEXJI6dPPA/uJDsVt1nXZ9MbROr4UD/GneYcZx10kn
iKb1lJde021PdyzQrTq3DbfmtYe6dlto6mKCROUgUhIKolLcONl9vPTtmYTVNx5jxjXVbbrIOo/y
BtacBCFciux66R2ZCVaihSt2IqbYLXRyFfwZU41hpbLhd0j6k1Hsx2qxtKhw88w4wluAymDkNMME
KVf+TtcpeD67lT+cFzJr/M+V3omPRjL0EEk0PdOiBrCFzXlyxzsrNQDQ9MpMTzVMB3jVMnP8Opax
wJmqHsADkkD74Gm8DlY1LnjneDDf6hCjq/hS68CHQ+Rf/h6eLr5yL7MbL1ZmE2WWuc54tIWxi8+Q
fbxr7MK387AdbeAJRgvGnXwBLcysuoTyHj9p8QppzLgGpxGG2EAd6gX2mJkl3hQvYIj4Exh5AUlc
u4jTCygEgbhSK47Sx8asn7dtkFrH2ksX90uzoi7JDP7SxYHTXi5GUy8nkMTF/WB12l6tqI3lt/ON
syI505hAgpr1GTJRTbaXte1egB/b9pjzrmiQklZwip4aiAg/zdkAPQA58l5AJDTypnmZv4BLWmJp
xiXfG9BpeBG+4vxJp1nMrGneC0Q1rWiVWfvgqi8QVmnQkWK4ALLVFFlxP7zAXeCxztnwAoKpF0Cs
eAHHnKKTRaRWzEys6Jn7AqQVaS8vnRd4bXiB2soX2A2SAhBc8QLHmd28WwDoeoA6ZQug5RW7a7Px
QF7TLnuB9fTGA+LjmRzmExSSQH9C2tjWJPTdNhRFtYMo0mih1k4tNfgLfOi8QIneC6wYLJm8xi0m
eKheYEexcpKfPMEkbz/1RKdHajZnb4tVVw/xg+oqv1CWuVRIB3GT2RQ1foxY2TGQ3hgAYW6Uv0Ch
sGG1YNiAWDF+hUokrC1th2ucVZ70kY3SLx/qF3g18Nw63mrBCrvOKwJrljZwsibkk1rxWdDlb5Zn
wG0Z/F3rLvaN7zAeh1YQW1sgCu+2/xPuhSqihzYgMKQY4OB5RYbrkUIS/CpFLQ1u7LxAyP+/Te7m
lymagw/bz9rkq8fmf/+vVw3yn5/4q0G2XaZc7PG67uAxgKiNLvjfgzPsB168U8hNxZWNLvivBtn8
g7aYPltHsPFnksy/G+TgDx/POHLvMOTEwANV8i+MzV5rB+BuQflkMofJI74R2G+87Y6TJdN1MFy4
SPOdO+Ltz7CEJaVvP/3tovxgPrcqP/6tHHg5EJpln6NwNOz93ogUzBmOcVyRDKeI88TDrLyW1XIZ
WFmzQ8R6IuP4HZ3IDw6IzsWmVAGCgBXw5oBFWesJ83vElxWvZeN6zzBSP/MuEkPmMswyaON/foqv
xREvp+jjfWBigEAiGMNILsHftIVNgIVu33EtDQuLZpLvSoMKtKtOG5+yQK+dfA+Qfp3qQXL4+ZFf
30UsU3hYkGa6nCsiOczbXh8ZvwWFySUMTKKnPultGnrLg6j9h18+SuDoeJkQjIvdzlsfAb9nL2rj
GE2Ueh4xRGzTR4Pt51cPgssTHmAIWWD1OW9NfUTe+209IGdV+nAc56uqaULZFLv/5Ci0tKZJfiTg
1esLJszGslLd57FPobYERjiUVyDAf4KHr0gDf59Jf39b1nOhb/ZNuNu86K+PIosip5OAy2+J/qJv
xkufZli576WPr3f336/WevdXYyxc7hiy21iqrm/C3567ysthjAZC4VGaHbVcOzMFzqo/v2BvvRD+
PAg3ncqftwr75tcHmZwsaZuGmy8a/bLWguvBg+vnxnb+7MdOcmY3tmK+C4tn8PoTUza3Vt+8F2b4
/QV1WBKRIOsYWPJevzG60ch1T7vcRDZJwRw2hIWFlWtvO7uS77zL319TjuTCC0ejyxLsvrl1GsZS
mUwgH8Vw+84S8Dhy4+vsnTXqjZ6RiwqiAPsB+xeOYTtvVox0VQnFIuO9bcone5ojaQcgZN0D/pwf
fn4Df3RC7Ci47JkBtMW3ieOYmCJo8p1Vwu1soA+cFVV8/fNDvF7/1ueQ68UDj3ZW/4H4LyhI1JYG
S7yZ1MteJdLAFCMud5mccF7URFyj2cPFNqzG5Be1zhw7QAGPkS4LIF/DfaPXTNLcQwoYsPaK3j0y
zGzDURfxLz8VHAUzGINXgGV+3cv//qYZQzfnKuclwF7QDLN+LCN77N5x2fv+Tq3hVoDm66mY5tuw
x1pmhkf4nQoN2uKp8bclopKf36nvD0FRgamouaLsATD76/MICF6ZjIleqSqy9j6Hj7UxtHI+/PJR
1uRRnd1eNzz97dUaMNeqPUDIsA/8aDYupmR+Z1X6wRPHuqqzKJnob/y35wHuK63K466vtAgXV8wR
iv1AyB0hYWIqnl1EAd9mVHUNskgURD8/v9cVxsvzbhAgxI7IQ09DvV7lv627rul2CagvS6JmPHXC
/1xq8UPh0/opQW+2qHfEtda6K71e6KnR8BHDqxnlwHc1FM7MqM4aXrDCJpjMCAZjS0zSF+E0sIBl
zi4GrMB9h3KHtA4qEw2HAOC5NaBsn3pkzoApaHWIPUoDFYBrheeDhF6kB1HbzS6E7aUIzb5rox5y
ypPvDYCftqkxvNDtTV2N6d62klVv6HzRafAhnxbPvoFj3IoKv7NHf/+Q8h6shSl9KEiF/+aVrpZm
noP1PRhQk9oObRbt5s/v4A8OwUvGC43xEoZVb/0L/EI3Ok3RSMHELELCVA6O9N5xfPzBM4q/F10w
YzL2EW+9qX97Smx39pchkSrMHH3MIGDm5lUO9LNctj0T/ovatu1k6zhF5jOEdvWbn5/i91sm3Dtq
EPh5zIBQzr8+vIDMDuDAkmXYT5n1xWiaqGg+/gfHIJtMx3+UIARvHcH97RTdURrzMFq8hsuxruqz
JR3P2/mdDeyt+npd4vEn5rFnKMjeb7953ZLWsd0O7CZsyQqL0IQQOVV1S33IB4spXGmiD7NnFBxJ
W2106OQbWHztU7Ck6lhNsXMgPs15pyT+fgnge1B5cYFZB/BMfn3mlZaj2WK8jy1Fuu+UebBF9sH3
xKO7JAdb5e89sD+4m45FW4O9GrsQBkavj5dqKTrXmhUgCfoeLL11o2DEHqdBs3b81Zvq8LSxj7ke
zRON1OtDqW72/Xnl4HeDke0cD81XxNSru2/0gMSdnx/s+xeRg5ne6rEFpYmK683B7KZthKI6wQjY
ySLmcn2z8fUF4cJ/cKDVGJVmlNb5bVeIVXhqWJJFxTWvpf8wep9//vfXiu31Eu1itsdlW2t+H9+s
1yeSVZnjSJhLoZgh9SwWwy42+53hQPKcu+mds3mbTcQ7wepFxe9xMuBQbx0JHKQderW2ZPYUP5fZ
9ASl0dhivoY6uMlPgmY+xd1q0wH5RnXVf5igVjR5/c4S993dY2hlU7Jw/xCNUQO+PukxMydnnHgq
SwfXUiY5oILZ9KtrNQcB1jcwOXIhIr/tcqx5KAydUDqUuGlwXmvQy9kB/Xci0350KvDe8cmjnGS5
fLPI6HWsiGVnT7ecR3r10n5nqfzR3ye9kfIYTrSFdO71pWoNtZiVB0Yw1DI/q/0O54TeHN7pK35w
FBpBDK49jkKx/+bdjYMULmxP48nk1ww7FV8i5Pny8yf9u6WIi0PDAKADmgwl/M0xbCWFUzcVT7oN
q7hBIrUHsm4Ookq//vxIPzqbdcHD58xlqPP28XJ0YcSetFfvn0uEhODd8TvP1o/OBYIBKx1UOw8a
y+u7gpX0zISdOrLOAElJ1V6yKw0I5+fn8d3agJ0pqBDkdNz0MN59U3Uz92qdwmBFNQURxb25hXW/
y5ePUr2HRH1/xQyc7TyDrhLUkWv3+nwSsSBc93mK67i6h1u3C5LxnTy+75ceCl52Yd7Fl/LiLeZU
N2lNeBTXbFrEkiDq6PvtojTInfM6ycqZrfTVDdIXJ2oSDb160yDGGpLPiD+ndzrPH1xZjMng5OO3
x4Nirb//WwEyOSzEWU6N5STGx7lxSe1IBie0/frBq967uG8PhvMJeBs9zeq4a2AI8/pgpOeOYyJY
c1PT2xqTuUT24D37BXOWGAfqX3pm8L3yDJfChl2RnvK79YKRaaaSouUtQ7ipjfVOg7RcTzV03HdK
mTfvwMuRVvbDWl75Du/169OaLKn7vbuquPMgAgM6S2MpwmXov/3yGfEOr9lVOAli4vnmOFYHRTb1
OaN01hNShuyvkBkh75njJ3c0vd3Pj7bejL/tx+tZmRwEazycdqm/32xN2Jy201J17BroBD5pcdae
YmqJR9WsdXu9HLsPnW5n2Tv7MqD22+PqOgAVihccjCmh3tYBxmAEbWvNIrILW2qHAIHxssH1uPKO
cHYhgoTYljCiDTIkUZFVSbv+0o+L0olHhTf73OrFXMDhLFuVHhwkjnPU1W3fsnDkwkDO0BmJODgd
QvTrOmunR0afMWUHYuISA1lVeOLZkb2jNqlGMQRRv/KhYNXBs6MwOga8YLhAWPEstQUz0wKLGona
17/wFO5KZqhP03CaFEvsfoJJywh2GbT8uUpcCV0gaUd50xpoycgEEmQrfUSsFidhXAYu0vdWmO41
pOo1thb917R3BU/vSbMiy0ctcHoEd/lqFh9mc+KmZ9NSEMfH+HfRDmmZG5DXpqTYZ9bYoqdpwRnP
m4JBVphDiDbSTeck8yaItXnnYMbEs5O6Fs+trWGGc5aWsJHss3Zwk9TdytbOVu2ob/ZpuJQr/0us
etAmljjTrxpRdpdkN3WuesyduR2OA5zw8rSsHIyr8rqxyo2R4/ki8NWePg6seXu1ylOJ68OAxFJF
au9dt+h2U41I2iGldoPLudiOg9G1RbTiLKdx7k3RvHR6+igm+SBluQ567Ry1DTYEzlAGJ65Rwv4f
5kT/gpmSFcVW6kYsXVl6SInpPO+tIfcf8rotz+cM6a7vjOVJZmlgDaIcbti7pHGN31rv7LQZDUEu
vR5n84RJ6mX9oisW3LR9LYLy6K+y47hxP3R2wSRC+DiqjWG5ypYTqzOHi+xF0yym3rkzGgf+GP/b
/+HuPJbrSLI0/Spjs4/q0GLRswhxBQCCkATJjRtlaK3jneYp5sXmC2Z1JRC4httk7brMSmYlz/Vw
dfycX9ThQ6ialbhwSkvoo6vVdWMdRqO3ywt95Vhn8FLJalZacNpZGeBiWfETaNnRXHCgNB2Uzz1A
xmp6tFcmNxC2VP/cxBBT6LhzGc6/GOBQlxwU5p2Q5DXiXg6o9+aSP1ZY+wQ8Qcf0hwOMI7oBpGjI
P4q6TpLbSCTIa+kJXOBANcDC24mTf80zqdyrfYhofbLsDS2M8n0KrbsM9DwCLzbDKFs8aMowjBtc
pvEkl6Wxv1TawTrkcfu9JhEY8CYBFBCmzL/0PRGyPl8s5iRVR1WwUt+BlZ6tO6mdq93EiZCDyq47
229munc7eLAm//dOEUmQ96o5HLIx1UIkEZrpMbNFS1NYnYWrqlUu9ip6sc6HKU0A3XDiF4qf9tWk
+EZmzNZDH1nNdGPEphEf8knBGs6isYUg01CU00EWIXz2nBM32qNRcTnnUlAJMe6yCs1iz0AjDJ9Y
YVvtpU1pW1xCq2g/Jd0igghKxG1hgKb32ga5gn1njxKEksYI1T3vcWUXrSWfZsreLcuYe2jO7rp+
urB6GVQFTS3rsm5yKohDaMWHFkrTVT9lQDqlObK5iLuuaNYl0XZH1ZgWxmxPGExbiFIku1Ed8LUG
c7VawenA8T14YTL6Iw5iS7u5X2TjHVoHbXWTlpGZe4q6GNnF6NjVvajhlaD4MMYf0STxO4kHt21/
UlWb+R0i42M2hWW5jyP9DuWw3vjcpV0yHESI8wb9R7OXLuGqabNPGjU7hxZmEcTmdlxpH7aMPMdc
J3cVxXgDGRaSue/mXKLtNCh5u1eN7qZQW8zh1J4SAOJnvEyOoHxN5XIKgd/uy9TJDd8BA9V9N0Id
9nUt66oXqghkDGn3Tpbsz7HdT/NljNHOArYQizX9h1yNMupfFeZZT3FWZzPFmiGquTko1N4VCizj
qxodq92sFXFgN22uJxiZUiu77WKY+UezzhuOki5uZxGDf9QXq3M7YWmTcoAVMpM9LKOdND9Fj4vs
3QLMT7tE6jCEp+XokQ4FB8QdggyRktkPNpKe2PKhK5c6/kRdw0ygmOjip9EWUHpa0VTFZZnZGFOB
DLK/z7nSzEe4jKn+cdbSefmQFqKKviKnPpa7ulgUya9NkJxcVGqj82lVGgbTlRZNKBEoeW3TrU1r
s4UEWcj6NVjKBT4ClkvVzZqJ+otpT9/VUXQhAhF5B7UZbp0XGVbR0ePl1wKjro1IBFpjTihV8L5S
90phoMOmNnTeEC7qvirDIrcf40WKd1WtxTWguALhEBek0YfERH+Mw1zU0c8SsZdDOISmdteDtTYf
0fJFAcs15ajyyzZ3oP0vKXSeL0sk2ellBoQ5uaME1ya+lCH143hl3Qyhv2ipczWUtR75UdVPH2Ot
xl8LcaOANmiClJs5x+FBgOYzgiIcxdMwFWiP1SGo6PeL2rUQfaq59Ww1ShAw6oZPi950+5ymOfVE
OOhupyxo8HFzLAAipTqGnBHaV8DsxW7ulgWlJSUN4EkpgbEY5ru5QO8pLPWOMjC6dmQT1mrEahjH
OrNhE7nIrYXtXkAIl24GaYRLg8TI0HoVPBW3rjLV3DctRDe37tNwjKgtSFMwmJKt3ENrGQxv6tqu
/zbbfASUd5DveizzaTkidSP3P+tSz4bPozxnaLzFsyFSkkFzVG7yBPxXhXpQFrFJGUiR/FRDRH12
SWI5zfsaCZn6PUzHIc6ANstzfixhPGrXSsTuUlw7BhA+sZdkkeLlGyKn1UZ6gshJjYEofmYmqlEB
BFsr/xBBWSj9lmqNdg2UScuudGi80TeEQIbs2MLVSp7sTLWBqHLGcIe6Jejh4VKT1N68zlOlLdAt
SvP8Nu/7RN7DfqJGTRle794P46i0HhQ8R4VwlCUpIsJyp3yXylQ4a5Neo1cKJPGwABPULwqilEHb
WVYYfxvlFX/novwCVE1eBgNcZwy/9T2Q2WsKOcbFJGXDsQoNiI5d6cSpX9LmvpJlkfwERjp9VFQr
X/wYvtr3HHqQCyF3JXaGleLjo+fE9zIsPxIo57225LWGsbuxaDcgie6R7q8R+wG0n0jvHTWxgn40
tMBUScI8e7AFKmHI3BzBk7TmQzfB6b+yhqHblY2lFB9I6Pt3ehaj31VpCVooBs+/Enhl55QXylTf
O0u/APVvrwDEQ+Jhl2voRsDAok913ZSz5upy03FgN8LqvrdSiXiREufQK2aANeJWWMK2qWQn4X5Y
LOlGnek3yyKvQ7+YhRq6U9/00ZdKHsnt3CoFuvc5QxkAOiziS3jY1jMyjx9+oe8vymzqxb6Alzbs
bNThnGBFPoB1RHBCG7imtaoYnZp5VBL6IqlnxFYVfxyVrHX20tL3zQEtumLeA+yyjIO9QAe706ou
MXeDEK0BNr8Y+ZpQHmvdG+pEr/czytm6Jy2jduC4HlD7qrggHaRcQAiiElGbURI6XpKphfgatlM3
l+6sLHF5R+GUq9JFqpH2TiqUJZQ82KdL9pNTD9C/riKt0LlDRL771NRVfAkzLtQfKTmsmPXqnxB2
/rBfkHaQf/0Kcaf7siLeO3vg4vPffnttHsrr20umY8E3c36VQ7WXL0oB/pt8igoRCY01hIe6fAxT
yJ16dabcdeLpCswHR+vVQQNkyuZFno1gU0N06V20YCBetGnrKUuTILhq/puRNiWcyBATvog07K0Z
66R5bKPdMMtfEgt9ubc/nnJ6UEgQ61ThkVXYfD07NuK5NRnUgrrlVXndeokf/wj3uovokRcdhlu0
NoK3g56aMWpsv6oalI22xp2FQG0jakE9mNr8Qet6r8uzYxeioFX35zBLm77Yr9Wh41Jm0xyDQrZ9
mSMwunTwSmjvgVqmekTioQ0gaJWS3YAqQWbLx1jEh98eIRgZKpcgIQCzbEfIUw3Eh4DGoo/zftCv
0L8EV617cXKm8LApwf0qp/AegY8GJosa7KbMIZoQJSGFwoOCmEtTkOCVd28PZQvJ+SsExV3osTRP
XnUvZ4qJlhISYthpO3xP4wtxNe/MXap62BqfWY8nlqMC9kHFaIDakL5djlo8F/KkVisgJq5dkFu6
P8R4BHPhVb+/CgkFiI7VgXsnBMAX1bwWW1A1jnjRG3V0UGoeEXqtHRwpP0hCOQcpOrHkFWPtB3GB
OPQWNtsM8tn69qZ0KDcQjjrA/ssczOpwx314prdwLtSmyozcMTpmHaHGetzNU3609fs6iw51U/3B
Kkd1Za1o6+yxrbOV3OiRBauOldEulg8pLnqEfKDdWF1f+aYULWcW++kqG7AsADiAU7cHsAQ6TY21
hhmbu25n5Fa+l5rSg1/4wKOcNFgfnDOF0RPrkQ4eai80YFdzo82Zr2pj36A6X8H/mYYAEqN068Cb
CeY0nM6M7mQomts0JlmSyha6moUam1mMjC5C4wAtTtJFKInnfBRPnBicgzRbqVU6lJg3yz4ZR1MZ
dbYzibVbooBbjWc21okjl+OCa3I1Tgb6u1nrtAx0pN3ooDS5clVNRnzplD0axxKallOMukhpTsXV
mnyfmawTKx+2jQFGh7PwtcErWm5YNCUYFqP3x6vlMBa7NiqPi32mEXlqpqjIr2i6v3A5L08Ox65D
2C/yuu5LP5Kdo2m8z4flzGc8NVGwiQHugfalTLr5jGqhWKmi8xkpMDxMVCtIEs9gwE5tqOchNkeF
VqI5WlUMZKH24I7d5EA+Cz/m6pRc6T3i7vrgv32bnFwbzwa1ftpnLRR7THOVVxSfDkBF96FOEPNN
v4YIn69v/6HVzyyJk1P1LN66ZJ7F6wFL92pBPBU6dqGhnXaVU6p4e1An1x0KdvQo6QrRD30ZZGC/
UbLDJyRpoyBRRdDmCXWMkUPj69uRTqVrZEx/h1JfhloMlMqKkEVhwq0+SDBy0bpXtR3Qb+tIwWsJ
KrsYjpGYAfTZ0fBgUSf/Cdgh8cHniyBW62TfWEBJCmlcPrz96058B4uGBBx4W13R25vvAIEWpRGd
qovSJNccDEiP6tSQrLn2NUU689FPrCTA25AJuL4BcG9h8Iom8fYLq3rdHmZgl53uZ/q8EkKl5IrG
iIZAr9VGrqBWfCb06UX19yRsdmYOzktSWiYhsvdLiTbsqkWe3b79MU9v/7+DbPamDjsNvYmpciUe
n9ilo1v8+HaEE8OgbkX/BbUCALvb63uk0t7CtOScFrNheCop1zVywqhv5wM9oOAPooGopi3tIJex
vd56KI30+Vkcg93QyJlq+M+TPyhW6/17gTZb3tSdqIgKAlnC8bqo9fvJQKD6nFvZifmhuf73eDaZ
AaBHGJgxYfROw8oePYD0x9sDORnB4UgBVQfwawviyPD1xs6Y+SnC4qmXkp9Vgtvhvxdj3WXPzkf0
YZH7jDSSxUK+L+WPIpvv345wcpU9G8WmNVrSVp5ng1GkdnZV1JQ0UebO1cPvRwEpYkNvknGi2ro1
zjNVc3NkNpYqObRw+NrhEGtn7INPTcjzIJvDd4IfrhstQZymC7RFeLR33h7GyQigj3S4S+BFt8+5
olkcqUYcwk2T8b4zskOR5g//XojN9gAU7xQgSBgEcIKcgnDR0T9+O8apOUe4WONRStuQ9sbLVVXW
Ro5kr8XZFTXfM6V6N0nxt1kf92+HOX3fKORHQNMoPq4/49niNfBqRxCV+agNskq9KH+Wjv2tG0WG
kGVlnlli5y6czYZHsxlDhY4LR8my5rKeDOeh7oz2gqmSD1ETiss0a2uXIsvvm0kyQFAw9BqhtYHM
fDlOtQuZr3yqXWGoH5Jk2XVUZt/+lCdmbJ0n6nrrv+Du/DJEmM0oECuIUNBVQOgwlVI3MlrYZXF2
Dht5YtZW11aoB4DLQexvRoMEvdMnHQcmZjxYOLX5WL+rJ9u4aBbEHl0zL85l0icGR0TKJEiHAjrZ
Xj1FHjpmmcnINSMUXy6PJPAHzRx2b3/CE3sXhhfPRIcHCInJJvuZtMoetZQoi666Nt2SJenPhDj1
6TCJXmFdur4a7r2cpQkx0dbAscWNlXjElYy6tZ5Lt01oQOGQzj1ITw3oebT1rz/bXgVzhCwMaU5a
rYJm+OGJ5Mz1c2pm1k+mrUkBdvSby2GhgCbBNSdj1Cj9K3H9w5JZdelof3h7cn4RjzYIHZIOsLI2
GeqqJPVyMNNYDA6tKJ69gYK8GN0Rz/yS7UxfdxVv+UC/iYK3DZnbP5ctnvqMzyJvYet1SFOy7ImM
+5Q3yhgU0NZ6e3SnPuPzEJulh1QdJI2CEAhWezH2TDnS2HV5rpZ6biSb+0+WgHXRtCBhnGUebIKA
IHr+YElQ1qOeD1UCsPH2JKohEiC9ibJivNzG8UU3jVcS1Mk/+GLPoqw77dnaLhVlxG6dKOak+6r0
obbaHWT/t4Oc/F7PgmxOOvBzqAlmBOFgaFwDATvNrp7+vRjrrfVsIHIyw9dZZyJRUFAyqV4uOoTT
PwjC9QCmCN1jY1u9FJWj5cbMQFTxpKHk9Cc3HOW8vwNsjppwqo26qkx6OJ12XyBQRrPi3Cv9xP39
IsZmYaVzzeEg1ilH/BFBROW9PGo4WGH0sYq3upo8Bopo/2B+kK2jB85Da0UWv5wfJIScoVgX2pBI
XzvZ8PQuPlPwPbXMnoXYHjASAv95W/PxRhSm4nkP5O/M/J86X55H2J4vliK1eUiEJZNRm75EhITe
/e8/eCF8/+tLbRlMiESCrdT4UiJDv228zRAafXsZn7wE6HTZrGAuG5gELyfDcLrCpKMNhblxxa0c
yD+wJaPPIHny+95xsaGZr1K/8NQEGzb/7eCn7m4alTjtaQrcWGt7d2MmMw+oEYPrmNDP6jyt+cor
GebcmVTu1HIADAoREu6oTs365SBpTUNKmsLabVMVi8gEV4pzKdyp9QBUmHuUocCd2yzqvp6rRFq9
VkC7XE5tu1uqfF8N/ZmRnAljbLD/mIwhmpgTxu7rhxAB5lkbj8minKmCnvxgJNYwXFCCpDL+8oMt
C1Z0RcPMxI75mI7R/QJ64g8m/+8QWxYDtKYktBJCVABY9P6TEdsXXXUpmnMZ4q+jeJvnWM8ibbYq
hkKzWq7LLGqD+mdzJbl0dHeOh+AbxkIBtk37t4d2cpKAIBurlALti01A9LecbplZbhY9cfFpjpFK
loczD8pTZzd1xX8FUV9OEUmo6VT9GsTIH6c+fydl7VNfG4XfyFqQpekHtTbLM9f3qR1L3YUHA/uI
VslmXYRhaifYm9Sus1DBtEA6IU0bWJVy1Co5Cd7+jK+D2Txk4UqvVBd6M5u1jiIkeRuCiK6KJteX
Tgv7wzC3oLYgH0+Fp2ViPHccvp45QiKaaiqwp2mqbQ6KqBAg/ZAboIJV7hc94u2Fb0G/JOmZ1f96
g0FRs+l/4lAP0XYbSHfQ5xQODlN5Pb/H4PinydSdifGLBv1y4b8MskmEyiyZnTKBSdwG+oWZHWKk
mgLcge97H3QDgPFs8OOdOLMwT3TH17A8zsH+00fe8gzMUSoxcOBtToO3o4ciGfPiKgWITFc1ouFr
1WMF6i51Y1MpLDBoFMiR7gG8AfLUMrOxf/s7IPFAVRyKEd1xWpab/VhXCOMLHIpcIeg0o6531QKF
ujOQ9Sdbb8qDWjXBoKQ+xi9it+joaFeSqgDpzwcvtmJuPw0Y9tur+9VS43GnQB6E6raKDdmb/Tsv
SWRE2ty4Zmxp170k6b5ZLNE7zcEJ8e1QrxYb0jTrcxLtDpIuqIIvjwpFwUZhNswGHXfylfZpyH+T
xgUggrVMWxPBAQta9zaCU4e9BtS3dqn+XiTN6kIj7yPN9t8eyKtvtgmzeaJEki4JPSNMm4SPYTfu
nLR/MuVs93aYV99rDYNcx9p2RmNg2w+WHGkMJZkwXb6zq/EmnM0zid3JgQARYC3K3BHb7Y+mqdVa
mNtCdpzISCSkxes8QhfUPkMWOxlo7f6uxxmQsO3Uq6DZ82lGYF9FCNaeiq9yOn2X7bY8s8bWk3F7
1lC9UvGaIc4rUFGMtpxQR4OT08iveECYgPCy1Z3jDkDJXWkmZxrOJ0+ZFT3C+4GOEEy4l4t6GESj
mDU6jGWozVdUFLSD5BwoBu7ARCfXY6mM76e2Nz1s3Ra3NxBCeXuV/OJyvh7y379gcxn2S77EdCk4
55yZZqKpF8YjWoqoPNeTTGsaFPgcdvtetSo0pcWsorXlUGd5+2ecuiXxBF/Z8FTZ2OAvv8My8xAx
hVK7YTh+tAf9psFkxqEshiijlZ8JtuUe/troQAYouuJXzLG1GfOYL1JSWh3GwKmlXoNNCj1jio1d
Q9fEs0Hc+iIVqu8kStO7fdli3lxkvTfEKEgMhTye+T2nlvezn7NNh4takTF74eeEIYKI5rfZueyd
M8jDE/kjxLy/x7ytYkInMttWoY7d+RO6VdjHeIYMvcJVFT9qXcNL/VzFVuHM2E6u8Odx1ZczS8HH
SCKLuG1gfdODcp9/bD50XrrLvHN53akT73ko7WWoGQz4oJuEQkAiRUC2O4xDfS7nOTlZ3MErK5Cn
v7oZjyG10FYTzqJeMWOf56jh5bNuubgVhWdOo5OhVpL3KnIP4XFzOOTLkFfher6STYB4CZNLBQ89
D5S7cibS+idtDwHOoH9F2myIJoVoENeUuDMnHf15cTC3MPFpxoFy3yXj1YCQqKv/Llv+r31Ih3/F
24BZ2vZ5IPI0kpMwwLxdvuTGEDj4jJxZgCcXBWncirYBC7h9BFYWAv4jXWl3FrKv1Ih/lqk1n/l+
r4JwyYJWWA9ySO2vikFWH/aMBZRmI3QpDPrMTO76rBiyM2+yV8ckOdCvitOqLIYc5OYx0csxPACY
DG7baAveP+Tkq83JMMnuQNdxVQ2Kot+tQq1jQxsCfDRQbG76l7uqUTpLQW6WsWEDYtyCLIowkUly
kZ+55V8fy0RCTQ/gIWpIXPSbd0uIE59tjpRwIqnVj9gQJ7scksd7KiKJr7Z9eMUKFoE82/jazImf
DHLoxVNZXFgIM9+/fSO9PjDXX4MeDU8buMavoL5OgvtCrDOnLT4vXoxaXNBj/Ld3Kvuz2VS7vtKP
8zRBTxFTfxtOOP1MWjhIqzY1zFtS7zOL7PVRuv6itQGFfi0idtvzAJyP2tpF3riqlcTHWV10jJGj
PACEl+7mJfuqadlXfmy+gx6LWX0zFQ/5JP/T0+S/K0sI/m99iMCU/wUCJFd6uSCyAXIpBCPSZKRw
eQFV+9YojrAhzxV2X2Vjm0Cbo3ZMHbwoHQJVkIEDMZhPpjnCPItHt17iLyNf/8xh8erEffnG2hZ1
RaWjlG5q3CCk/ftqqj4tEUSKjHLe26vrTKBtaXdCTypsdQIVqR5Ueb9HZv8CadAzS+ZkGE4MVoaN
3ty257JAsZlDi/RSGuTH0Zg89HGCudd+9yGwfjbI/xaQeDrA2+xNOK2m9oXNRAkYrca+SY5L2x3e
/mQnzliC6BxpHOWIKGzuKMUotCodTPA4BrRQfcXTxva3t2Osf8aLe3AdCCKsdJRVMH9bSbYkHqTW
qohhQHzUkUWSJoxcquE6KgWKpWPSDjiPLSl2Yxz4VaBmVXrzBz+BZgzFGwgwjr05buepHerJ5Com
GQ33VRs0yaf0siBBp+lUX0sGfI7a1qUzwkMnV8qzsJuzt1rwnUfSkgWpfncUaPxdoC+T//bYXj82
1u/7LMomo9ELvZ7rhTRfQmAdDidu5Vw6vjkPh7LJVF+V233djX4m90dLl45vhz91nlCp/yU/y4m+
Ra/o8HiTziB1a5UHbADKS5wZHb/lH3i0AfiA4T3v3w75+sIGQ4+CIa9j+hNcJy/PSsCp2dB2TN6S
K08dDkiu6JxHxLcd15mKcyDcU1uE8v2q1AZgATTey2i5KuYWIxSWSpNfoS55Dz7ibD1uzTG2e4SN
jsbRWo5+9RgXub1QC+ZULoXJSMqYdykI93u4/NrtGFfLAzrr+TfciZaHsEfYCZXA7tyz4uR3ffYj
NrukTp2io/RE3TivPMd5CIfiQQ6roOTZ9gcz+CzSZmNoKd8b5QnyfZQO3NCGwZ50j/AUjvVZCP+p
TWiZZFoccCdErls91o2B7MbV2Rh5jbS1nOHEcW5IJ8Mg+YU5Fl0rcLYvlwmER02uFAvAkyp5xYxz
JVIX6F3+yXZ7Fmb9Gc862I0zV07kECZKedsqIUo3uGkFzYKf5ah+grlYnpmrk+ufJz1yc6tA27bk
BRPfRO/fITNJo+skxflcXc6pMJ2MAR5overW998m+0GYg0cY8DdXLQpxW0243KRj+vuJPucG1D0U
XOE88M+X324FhlGTRmuzLhrMea3FnaCYYRz8vm4h4769xE8MaUU2oV1F3k3fYDOkqMZjBQ+D9YUn
Or/HHCjLlTn4gyDozjMvNMxfcXwgmFegunlGzEamXDVm83EWZXjmCXFyJM+CbO4XW84cpSyyxq0c
8R5gAHBL7Uwh5cTmAcFCfkCPFPW8bRfWFCVuaZG9PoeuK+w9IvO2FvHv521rQZ1LilNcfw1sQ6kd
0J5Ag7V+J5wrKblP6i9vz8eJcRACSOC6ylSAoS9XWGVIizU2jKNWLix0ZCID3uTvKomtlFrar9RK
qKaCfN1euYWTjaLEbQ3N5q8Fdy0C5m8P4/VFwIuYjvWq0I+AoLOuiGeHzFA3wBlthmF0I7ZApj3s
YvrkntqkhRcl85kE8fUC48Ijm17dskCVbB/g0HaVKtSZmH7Iko8YF9F77SNn9/agTkUBzk4irfLR
Xh3QnCmhaYdEmafqBisorPKov7wd4/X8r5kYlg2cMVivb9dxhbxyH1tJ6xZ1co2MhxtF7SU04jNh
TswPZwsS8zBZIetu3/SVmowUj/IW7Sg9A4YzpQf8qusrqiidBxkwuX97WCc+HQ8RjjEkVVc17816
UIueDlxTtK6UjeiQaQuqDqpx7mrbPMWxpARKiykluBWQKwBQN1nBqMrkHygVAC4yLzoLX+aoWsVH
crxyLTdBtA7Dr4d4Xo6NJO+a4q9R/seLN/hf9vXfymqmrBB1m//6f/6H2opy/3Bq/8d/eZL4X7ov
/+tH0cXdfP0l//Gf/xu/lC//7/9+5bT763/9y2Tl19/0T8sUTf8HE7+anOA2QRK8vuL/aZmi2f+g
mGqsMhUkAysm6V+WKRJGK+Rx8Jxg5NH6sdbyyn+Zitr/oHqGDgFFPno0ZGjO75imbOFK65lObFSI
WUFAZM1N9jo1TcZv4Sxsg+qYfA8vKdrNnxEz8WJP3tmqrw8u6mrywfKffaqbv7L0544Sm3XLQY9C
HyYq1sr3pmy2LQhkE5rYKg0d13jfHBU3vRgOurt45Y16SM48fbaPvTWWRd9cx7WGo+YVe25JqiSt
lhqs+QVkhN1wUPbSHgG14FykNRl69iIxV1IqtShO4xVBDTn15R2gptWYzoXxk1r1Mb+g6r+LDurB
OpPOUmx4FQcrGLSMQeuvghS/BvzsrknFQhcdVSVq/YP1o0YU/bZR+vBB70dMEx1qbt1RXijVVzzC
dqWWGp+VEs3FaJSkfY4cCvobleguY4qJBzUbe4xRi/BiqSAz7So1fqwjHPPcqUb6JMZRGP3VJs8f
FlMVXtjPhe+gqbwTQlDEnqvFAvOshSnGmLJzwIaxuO6VubvTjMV+HPPVyC5aJN2rHVO6XBItTd3G
UIaEpldi76NBKBcRWpct8ncK+nmNktvZDokvU3FpkA17LRzTx3GQyqtWtH6L20nh57GKU9Wil/Pi
DXZW3gHc0i7VrgifjGiu7/Oye2c54qBL5YemFyaigJ183Qu1uJazAVJdX1VBSPXwYsyRQXKHSaif
0LriP8qCv857YQ5CtUaGKNT6ukIVaohuZRPkc9lrmh/mmfZJRufh1pZL/dGu5CX2kZcbsGvQFuPR
RreFx3zhLIZbj3L7xZkG60aif43XVeOVqpIdM70qrjI6Gz2m9hHeoHYiuq8SIvapJ81YfYYNImSu
RLpqoZbUOkEq+vRQ5UiQFJSJdyHeBxh3VvjItfXaGhaD9NUZEbtatbGmoFLM5h6v1uVgKa3y2KnN
dYImz9empwyQpEGkihs5Tb80aDAi8SxhqEh6g3qLhcoiei9jV9+3TjEqvq1X9U8Tn+4vM5GDBJdT
t6ynca9gnPLU46N+UQtFf19V0eBhX1FFnozZ5b2dSDlOu05+EMugNJ6Jq1sS0CaYLzB4LXAlQ3oX
/8u2MNxcsmGZSkDyPKfDFbhD8P2y78SCux2iuR/EaOlMFKLVN1pXxl8clDZpIppZ+Q7fBxS3OG0W
1UcTrPwIYtDw56SssS6P0ws5LHLHpXMtIhdFRHvx7V5rQx7OuWsrTe0t8erzni+yTi0Z4/laiyzY
CFqR617iVPl116bZU9m0tYIbQf9BtLZxyOtYzC6MHVp7wmzFIYQcxIfsqEv7iE01A7pBkRT5zZzY
t4gAIVA0yItX6bG4XGJnuc5F1j1N9ITQC0cF7LLp0+6+KjIZ8weeDz5U+lKDNa01GKvjJA/yPuux
IrQQVvpo1kl2WYQKwnq11snrMzD2JVmyUDWa5/dyF9JNnoyM7KYbx2Mm1WbhJao534wlqmcXajjm
nzrDrK66uAzdvBoGjN+n4jrtnfKzoaaImORKyhCTpOybQMt7stsoVivZjazCwZRZlrvCD1tHfNap
sviLWo+tLwqWNH7H09J5DXC0K2kU5s9UhWzogna47dPZesSXbt71Vq0eLf7OWzlmU+MRIgqklDrj
CIkfb+duCUJdUmq8SRbmSLXDj30WGpdVVyxfW/bdQaa2hnaZ7ESf+wWrzLQtu4Ncdg4ONPGcB6Oq
VLe6Wjt+Z6EGeJjjolWCFgvhKrBRTPuplHJFIy5ueh/EqfEQ1yFmn0YlF5/xGpUQIFVQAeNIHY2f
1AzazOuaRt7VCrJWuF1WlhVkRY662mTMFAqLSLjJpHd3U2+L+aBri6X5Jilu5uXZPB2oeANekDNZ
wvs4TDM4IXr6oXPG4ai0/G345EW5a3YG/vFD23bvEiMWHxVhNJ8anhx0mjiHrUAt5jzjJVMhZNay
vjNnKd4hvlem6LBOQPxGK8U30elavK6LanB1copvaTn1o2dHeYMAYql95LXS7RuR9KObj2l4mdS2
813KcLXkacx94FbJBORh4c+615J8qP0R3BU1IZlTsZHVbKfqg3Rk7w1sozgrPakqpUOtG5CiC2Aj
moc4eHlZ0yn0c6TWLm01RAErtsS1maES5065Wu+0OSs4yvBRBM9Wx18phVo3dSTix5BnuoTpioz5
mV7p0l0UieW9jKuhm5ZO8RSBV9nFtigvsAor9mWJhw3+q9bMt4mscC8NBZa3VVlVF21T43DJMR0k
Vmj4mdXyf6qaWiDyoQ5XvaaUV6Omh3dUN+z7TK1sldNbQVksoScSL6H+nb8aI0tYjzd2bCk3JBXD
d71spo+h1gVYP9+0a5mEHMQIxtkoAer00l6elvFJdWpORlS72hgd0TEyxSWyo9U9uYrkordsXTpy
Xd4jq9c+jKvarDyl6W03KSjtxgho+aiFRbtmSOWnYY6NCyMCdGQoCLmiX9NIe0lSANVBt1exnx2c
9D0KlPWu7rsJtZ40LB4ktaRRCdjLq9iyB7sxarqFiZzeZ0s+PuqYmSadE3siNdAea3Shfi+GtMac
wgrDC4GZsuzmaY7Hsy7ZzpXcLhnQBgQHnVwPL3vRJIHSRubFlNn2BaYK6XsxfDRUadnpM8pg4/TE
PX4xGOE96ehhdLrQxfDSz/EZdqtBtDvJVO+caBZ+Mo28mRP+bWdKeBorRW8GvGJwQVWtTNsjVR15
yhR2SqAuQ3Vrm9mPuZ+dm8wqtM95UpQXIq/EZW5lk5ePQsndqJ/HH5k6To/Y5XI1mn2ZBaEkmRcV
imKeVkyYbk3U5G/w/LWxiMnrHqEj1TjO4YyXLHp3rRsKPfxm2m12nGSZR106CQfxgXKo9oUEWWVq
nLINAKFJYC4r654sR7qM5lEuXVFpcumZhdJdzwime0VlJwGJmPwhTXtCZZOUf1/L9i7+s9ETuHeU
1fswk37m9WAcdJQMvX6UmocaTO+3dnTILiMse/dab3kCjeKruGoib3Km6Ng1VX/HxTNjwbmEqKhV
Rvs9HnLz1tCEE4jcSlGhFGCq4EiLwZ3G2QkigIg3ql5cIL6oHG1pMUNcZsMoRj3LhI2BXt9DOikW
+yXrXCSTu3cIzuGhrOXJ9xispE/BO310sEk9tmnR3ExJE76ThoXyl2xJiAAPcfqjdcb2YCVT8m7p
DCkwxw7dqlhzjiG6PzfgVC10zufWuRuEo1/PlZCuJRRyA0HJ6I4ub/SEsHK6T5DU+4AqzMFyMo1l
VEn/n70vWY4bybL9l94jDfOwxRQDI4KTSJHauEkUhdkBB9wdw9/0t7wfe8dDWVUkyFZUvbdts1xk
WZbkAcCne+4ZZIIvUP5ybIZut1MV7X0Ag9hnzWPkCqHJy4EZQQlaW+aeiLY4VmiRKthhDmoHVEZW
zAMu464cKdpsLXc4Lmi6FftOxr5rrSbc1KABOl2sGp/zcpxOulnoNwzhDRUiXLXSDbF/WadWLaIF
4dJlVCHM9tbG7Wmv6WT+ksF98xYXHMQ2ls6duRj5Qw+bwY2dGeI0yx5Ek7qfu5e68MyHws4Rcw32
FN3naHukUw4v3HgWL4yzJTIolT8nIReULrD73tDAK55M7oz4NnAJ3qH/2bTROHDEZrCs1E64iuJj
Ctg/fodi2tpB2z4YYc66cevpVbO363LZ1WNX0hAXxvnFgHfPZmKTcyUGUNJDY4ZLtoXY3LsS15It
NQncSWeNzEk5jOTBzhBW3BaUoojTPNnv4GR50Jc6R0qP02SHsQGul0pw2R0kOc4VJjvc7REw29c/
21H57fYkHUnRXHm8r7DXFiz2i6E99noNasdCsuug9c3bceHdnTNNUxNTyJ3gsunl9aag0vze5yzA
dzH4s4m0gH0gTMkid/JzJ+aF7sWibIdd0xrkCtO1ugpkBlpHQPKrqi9RQPHONY7zAsYoCh3R/+w9
rb3pHUSuC0PWMRplCJojCM3ratwZlD+udTeYYHtI5AMJnLa5fe8QOhxh2tLvS2ewj5bUcXaa2az9
ZB7S5H/jWP+LuPwXWrI+Kt0/IC6vPf3e/BAv7XvM5fzH/sZczOAvaCkAq6gULGC+nvlPzMU2/oIi
HPY5NoLWAJsCiPw7pVb/C8AjokBBzgLDxoN8F0DIPyCX4C8bpLezHSNM3FSuwH8CufhrR32ccPhl
4Pb6+AngQzgrYJCKuu1QcUHfhmA/JAl6FhjzOfLhQSpetK+OZmoP3O81FoFhw14sDRkJPs/7aA7K
Zte5g/XKxTy8uqUcX4QnkR6lZ63vxj0simk89zNsu8sC2fQzE5OR2DYqQlhI5vVzRl3Jkw72xzh3
EVtbpoh6dsHVmhDoVXADm19tWNwDCVXYB7qYCHZnRVf+9EdgBhHEJbC3LhzNbhMHPc8f1Cmwc1BK
N3B14enizzg/uT2bj9aiQfVoy2ruk6brm+1sTFA/WlM1Z0fe28XJNieSRw4M4Df5wr29CRO+1wyW
lyM2iVnCHdIcnD7KSjYeYTxt4d6U3Rt9UMMD1K6Cp1HjvRGCPOHNGMd1Th2Z8q9llte4502LiBip
KIpRbUF89JKP8I+lyGuASZHbxLDXmvZ616WImW7h3eIXo40fbsL53SiXNhV27d4DgJ8RN10uU4kc
OvShtN5BDQNVgw0n8jr3nrxuxB2sQReGRsjvNHvUKwQBmL3iRnlitIu4MgfwsbDf45ApUegtOLKE
/tOr4F47wEs+rhtt+lV0iJFPur6Quzlv53vHxAtYhDwOrUYQ6V4rE7oKdvFxS2f+zfHz7FsHR+ZT
LpEKEQ2ex+6qpn/1qw7XQ1zDgxvu2LMXeXkzbdiEcw0CeGkcHGe2f+DWEdzW89JtWssiIyoNNJgi
v68wh1rd/aWZTgfJqkDZcU3qpjxY2LBhdyrEFr7sfco6UEBDB5GpKiy8BwklqJhI9H6cDq4zgZ++
wLZ/a83IHYlsiosnLLmN4qYuKQvAcGjs705W6TDkKt14oWaGi5NZP0OLx+7nxg8l07WIWwWWgGV3
1muPc/qA8x4QCVxfi1eUKDR2x8l4FJw2eKNEeu0mmyitYzfDn5JN5cNgtO5axMj6Fv4aXO1+SGr4
W9cfwU4UDckkmouVtYM5vn09MgddJ24b9MEqB/6A+7hpRn5VBM8aq8eYea0LvY+Q2wYgkR8iegI2
9UE1FbfwRB/3+QA+WMcXfCqj98twHDxAY1q2ZMni5saT5TV+Wk9B1qfwquFGagVj/ezxGhUbNolm
I93Z2ht55V1rtZhwGlezjdh3eAg0tmA3Voc8VaLVfiyyQNOiMkc3Fq668BprW/inQwDxCM8s90FH
Gvxm0Bwz1jJKr+CpIFFMZ9Neaxvksjsiu+rafNzadtft6OS4KUCVA4wVEarBfPmzATIAtI+LIcUK
B1zCYHnzimWvfbFZ3iDpQvdRspVG9Yg4wJ4mfUCx02SYSPGIbeQ1k0h5MKWz6OFMcaUIbbtoG7yw
oD8NJpwYwn5w5xg5SIABc4QVfJt4JyP8zybOCm4ldl2bt7iHlzc92KR3owfT32VAdY3b/LC3pCvv
Z4swinmEBhgUtcC4N7iE0mt9zvvDMtMMwQ+mCoJk0/eesHHDF8u98ZeFJsww59d6zKbI0nh5pOMg
H5mg9i+t8Og3K8cuhUZKoB36SS7BEUkOwTeApoCv2Ex/uBMrf5qwdD5l7djHRfezg4M8ymwtcks3
uEMSKW6KlpVld3rRmWljIFwK5LB83AVAemCIA4fOnVf1/ZdmrssNzwTz44ksBo84kq831CWijqXO
If7LmF3+0KqxeViGipyAL87pNOkOUBM4PM9QYeFNmjNSShCvAmMQlsDn4sHipXh1QF/duDUgMeQc
owCC6XaETkOALDfmRViw8063KYWztm7uJ3+y8rAChpwMdjtksekV7VW5gDXqCmd+zSuzh53FyKtb
fRLGGGaVDZZ+Z9mhYLWJ8nw0ErI0r26D/bxsXLnvBwdUKkQeHAJDw53L1ZuQ64uZevCfjoOxEVvG
RIn0SBhQV4wMqJQwM3GzNE04vmvmsqSeRBXkOONwb7ty2ZlB1fVwCfdbG3uxkLj7MuY/NB4x/QhN
SfvalKLYmwqObHFkbKiOfHSmjX7iKdhygCz/Fz9jmYPusHv/N8J5Rjv1M/JpDeDV+XP+HVbpNzrQ
UQ2wtpYF2C6Bm/oKQMXtftlyWHPf6wpeJWeklWmZ9qMy8M01+CJgTitQtlHwLFNA7TDQausr8LZE
zAnYLWdMtwTgG+P/rhxBOsl/dFxCzpebrSWiiS70gBtvjWO/j4iCjGHa7910Cka2ofADHPUbXXYb
58HMhUA5Su25iAMFRVe8ym+zygKcrU1WXPHa3+jITr3NRrProvyMaeeZNSfV1ALNtgZg3qOCv7HS
8a8ZPHP2uoLHK2zdG6kg80aB5yp+J87M5tEagy0Fvo5wQ3ZvKci9kNS6GhUMD+cduHDTMzqvA4iG
fBaYvVTg/cLKCpDOIDfaGdsfzjj/nFfA/GtkHg0hNwxjj0PBR9p8hf6ALBvVK1BtA0Qz2NF07iXY
DtoKcIbnd1K1GmxvCLa9aj8gIRSfjCCZDvCjalC0PeBJjUwkoqp94XYu9rZAmm7YnfsbaJk8yKbN
htRV7Q8hqdiX55aIao4glwc2BwYQyI1jdSztVBuFYy9JIXunqWOQgO+gZQs8hMgU2ZfZzJbbVtfc
1/587bdUBYDMHxQDEm6GRw+kzb2raoUcBeb9eC4guKol3DGz75CRgQLDV7XGFCAjDuHUdTyoSoQG
rLtREOxPSKHxmpy+Mo/1uXwhKGTIuaTB6Q5ypqpzRKD1u0HVPt65DEKKhMAJqKojXpTimSKb+xl9
MhNu36ii+gV5S5DmiRk5o6rOAmJo3Vaq9hpUFeZrRntcWspifNXqGkBEc9Wpug2e8FdoOtc/G1XT
WW5di3A8l3rTuexDszs7DKOFYtBm+sGibEKBiEhJ5xo/xo0lC8jDcC4mPag3oaFFhVnOZnlnqqoT
jr8oQFFKOlfmuSpV9WlzLlUdVbXKwq/3hapkjXNR26v6Fq0gPBaKOmQpCZucpnMpTEDHaaNWVcjQ
HqNY7pkonipVQdetnPNEV3U18+olmmGhIRqVNOnoblrmHWARlgVOBGq0+dCoOp2hDQ+Gks7ESXql
txEErsQLtey7ajR/jtYgb8nvur/l+6EysG+eYYFOIQQMdMYT+iMKNhiDHMsf7aKbTOEKjJnyWVdY
Q2nY3E31bu6+Z2iexgC11c0cYTl2NCi0wu5nIBQKwUCfB1FUZ1ijUwhHr7COQqEemQ/8o2tG/7kG
hniPYnjIor7py1+VwkyQcA74xASQAsSGPGZ+W22MsSm+agpvKRu4ey4KgxkVGoNAqeDO6VA8hZnk
+k2pi2DnKQRHV1iOr1CdgXbDttHm8lWvPQv5zAr+QSMI132FCXVlx3eGwomQpwBTFIUd1XbBIqjP
+ZEpZAkPCMaCQpvm0tLDzFMQVHCGo3g39o8ucIuH3mDk0AsBaH7ubfNpsLRm0zYuveHSsZ8GYyzR
smbBeGgcI7/ilV6lBOckMke0YVcacP6oHBgGj5ivdxo8u7aQvPknm7njF3T3xKZ3HKRWmNPIvuW5
Vh1pow0P5lDIEy96KULitTzu4D63xU6BsBlXN6kNoK3hSxSg9KnCcaF+Unm0Ag6fu3oVTQVxNmXF
dPQCNS970TNobd0ZG3ri6GO3MQGzeyEPAhIxny13pAy0Hxn6ojIcgqCLWiT9QNclh/oOVPHFCqEE
J000dBWNdbSCpzgDMrRv+aRd+YZRAPYypxdautqP1qaiBW5fG1WkmyXBy0AALvoMASoZp6Tlqeon
bu5xLyL2FTK2+yxtkepM91mhoYOpwQUWXik9WY6WyLo5nJHe8I3l0qyP+DvyL6VPJhMdJq0VxzIo
8use8WUwiTELCDbFkNVe6Evka+xhAthuHbQKHsfBtO+bPGhd+B7oC1LAmxYdg4ATBwkdUGeFXNTN
HPqBcB9J0MM2wGaW0ho1g2tu3WXQrLDw2VDuMtr712MXAIpxp7q4WnjglqhJRv0aWlHvhLQNlvR9
bwEKRU34UiOo+mvQZgCmMxsdLDdHqyHjGhB+/dix+rbebiGwnUOsGfUz7jB/URbYT9qYfwuKVt7o
tjbf1IsjfvYmrV5cFCnHaZbebVuI4kCLuUJkklxOPLOru9wicSuX6lpDNPmdU0o7xZzWN6NdQTnX
2q0ZD3NfXVWZyG4WDXcutAgsaFqdRiNPriuZGbUz0yVcVkhxTwdZiWiu51wLDQyCnLpCfJ/6StsG
mSt3WjeTeySJkG/SFuVX3dGQJjagItk3JoXfHgRuaL/JGoE4xMS/6TASDhzOb5oG1fEiDGRtgfKV
4+IX2IAMnCozQsDfo4uGdd/c6V3j7PLZlggQMhykXaH5bgAzf5ocLdvh2VEGV7nDj1Rg0s3wl27C
HpB4gxhSa0A8FmyBryR6mHcU6RMxzxwk+vSNsQAADeoJWvoCN0XPL/AnYAbyUoy6eZrmdoz1DnX2
wgHewN/M9I9yAKYv8ppTdL5bzYNEGFbt4ErkKezebHAIZvOEqA3/BI2dFZnMEYdMNPRQ+n39zRZ6
9ROnBKAPs8+ugRPYj7QUdI9IGP7aEXN5gZ3aeBr1YJgjAQOL/AL9RWE8b4givzEgF6wtH2b94OOv
MCBU955DAoRsNgW7Y0iLkf0F9caK7mZDF6qbLnyCQfY/q+/fU1F67vPCY+idT7Zb/SRjAYI1vOX3
E53GpGKsSN4gcZ8Qej48kRrPUyw0ZDjo0GS9Hw/3VcOFkjlHdHn94looOsgFnuiaMvT7kf41hL/S
HNYBnfuGqCF2/a5JEEQdyySLkI8TXSLyXBwL9Ky3bE44GuNOmwsURuWObLo0T4tI4CKd8qjbeBdm
w/8wGnhKyG2wweVevTx4IA0dG70ne1PdWVt3V4djaqfmNksvpV8YgD/fz7zzd/rHUOj7vn8wyBa5
9CfkXSiXQlIcsdSqvZb0iZly9BIuk69WXKW/vxponVDpwVDSUfTPN1wld2nacprw1czNUG295YTm
Qbat0ymsovGFfbHb6669mmMeFeklF6nPJ+W/xl7R2+xu7BBEgLG54R8AtUxee4Hn/enTwS4AKANc
IfS1JpWTISMuG7GQtbyNaDaf6jGFzc6OGjTUkEAW/XmZfT5V3gyoftCb1+kHC64wHAPWu+ZOcdle
QCg5yU12MSjl86nyZqgVhx39GuwTAiwQHoMQVYQ0bTZFNMbdEJpYc8P2wqMpdty7TVFNzTfjraZm
O9rEdyXGmyMZ64nKCcrvwV0IvU2b6l+HC/z5M+P3D+OtWXRNL3SvzzDekOi/+KHYetti30TujmwR
p3kqt6CR3dPooqHPhec8f+I3n9C2B2rCSzEP3SPCHeEtHGWJDNsn/8U82NsiZRce9NNVEICGCp0A
jptgtQqGXFSObMAM5sa0lzoGcB///OlWFO7fa/zNCKtJKUyzpSWFJwXaMpqBPnFR3FR55dxlsqou
bJafHmxvxlrNyoqZyrMcTwNLRTDqGjS9pY6gWMVHqUvzwnr77N1ZUOpBTepAamyuRusX01tkgOXm
Ov0A7ABUeP3Hn1/eOnHh/PbejrGa973V9ehtqO8Tj4k/PXRpu/EimUyPzRADTEEVG/6/HTqwi1SC
BQdWTqCpv99JENqpLwED4lO7S9q4WeKAWsYtlpozQhFbbqChhBDZSdt0MA6LuJdfmJef7J1IqAc5
Hva8MAhbi3Urt/EdpsiXoJeccN5Cwt1LNxx79A6KzjE2vt57F5z4Pts/0XJDcowH5QzkkOqDv1l8
6NVmfu4hBrncFdvpPku0aIiNSN79G0efuiSsNph3Y62OPnQhAB3YGKveZVs0q8oUuEIyxwOg283F
7fPz0ZSLHC5gaOSvrkfcdFtTaBiNHvy9X0TGttogDicxZWRuxaXN+pN7BJ7tX6OtLkidcJjHAow2
YrOeDot5Hs/a5Nsmiy/zxT9ZhyqUxHB0uE4ob+/3n03yQrQMWdchHTIHhxHeptZM/6HcRa3Ed6Os
lkQbECMDkFWEyH3/1ljT94Bf2L0+fw44JsDHwceFQZ0Nb6Zf2yygB0mMUAZV9pz3IK112tOfN5SP
O6TngfcIswyIDzHNV/s9In0g5x7gn2xk7d0okILak/xu0tlJcH5hDZ8lmu/nOKjuYKJ4yi8JF9jV
h5mXUXhLVZZh82v4rjWpuK1T/6brQR0Ji2fncfnWM/Snwz8/4ocDx7Gh3YNkFAl/yrBltbKywkbU
k06ecjuBhzMFMc1wLhRQH77UaojVWwQO5dJxIfCAipcCwKz2/OdHOF8v3r05NYCp7I5x6wFKvJoK
QbXUtEITWSPIg4bagyFkd0CHvCnCwkIsLAJh95Txh24iD5VPkgvDf9guVsOr538zE+3JrcGEOBcC
ZFNbsdjIrYympGwTfnFz+vRl2iCxwXIbbgKW2k3eDJYhVrxCusGT2xMkQX1tl0vK0Q9zXj0NZjv0
UCZUfuZqGnI+ojef+U8QkkWud1PyX0Z345U/L7w0dRR/+GZvhlltENocOPVU+U8Ir9rnUZ0OIYi7
qREPG3U1RnzbFduJL8sxiy/dGi894OqSQCswH3GmPc3M2PraSeoe+k957Lviwo3n43Xk/atc+4Q6
A1zs+9x/GqMxMaMhEmiyRjx0QxJaSRNX9yS5VJV+Oj0ckAmRQmHApWA1PbpCGkwOwZMNzLAVX3r4
Xlz4cOrwW304R8dKwxx04eqzPvYb+GUCFMyeRT7Tr6Da+5DCaU68eNKDS+YUkDuYU8JuzUQrBsSZ
qS3BfZ2bCy57n2xb+BUeAhywdSn+z/tlIOVsMSq0J8jeAZnuamyTDPT2Pz/rpUFWczSAV2jXTtqT
hn53FTwKJiNXv/vzGB+3fUiBcX8C4qOkY/jn/ZMoQwYGRsGTvh9O7W2RjMDEf40xCfto3LYp3Yg5
/vOQnyyAdyOuLhy6qDm4TkBFi13tHXtynNxndPwvTJRPFvi7UVYzcRhIFsDW5Qmoz37YVBt1obl8
M1TfeT0b37691dbfEofmLY6vDjmMBby5pv5uRKg1Gu3jeME067PZ8HYotfTe7ryisAZCMRSkLgGJ
O/cq8C/dAdRL+dPjqN/wZoy8LtFor8lTfRgTO6qSMg5OwTcASkAl2q//0TSAGY2DCy7Eb4h/VCHJ
q+dx4DdLy8V7QnRlDLeDqOBazOGmPv+HUUy/B8JCdbBe4WK8TkJxnVYwXXhPRo0AilLTHrVAXHhx
q20PIBxKci9wsSfBS9ZaH1rzZAvHmXskyI0tjOHLEDeOS7LnNYrzYZDVdlAEsFAYlbpJ7edwW2yS
adsl5NqIKjSS0otYppq7bybDh/FWB5UHTk0wVngoe9Oc6iHu0mnLQ4HeMsSdrTJITv48I9Yl3XrE
9YFVCsJnOAqrEesbgZNYpGonovviIiZ24YtZq01oGdmgFSUezivpg0Tzj7j3f36a1Tb34WFWGxAU
ja1PPYwAB9inSUcecj5BXfkd3cMLW916D/89lPJzRDmCikpfDVWAmVY3C96bwh00+1HhDkC5IeiK
rV/8znJRpV4E1ld7xYdBV1vf4CyIyenP09GAxOP+H9NjgJ2Ntb+81X76xd485Gq/AE9nCnI1nseK
Ryibmmp8+PMXuzTCavfLnDFwqwkjBI2Xzjbo+/bt/98Ias682V+7bKwlKzFCwdCRRFd9MC4UO2ss
9O/PAkcJG5E4AdCD90MsjZiswUU1wGPQC9B/wGh9fdBdoL4TGi16ihZcaC73ZojOfHwR1l6diB/G
Xy2sVq+FS3yML9P2RG8aNCeaIPK2ZKeE6KARYbePtV/25f7E6mb4YeTVKihr1oJo0P3er37vHvSE
G0x06ZL7+U7s/+sdr6a+zqB4pRqesdyJ72obVpdq51cZVnEWX3KHXV/jfz8Xei6wGQDCB0bR+y+q
ZczUzRbPNaVk823uH5XlrRtDdbmof+y0/zcaLob6W9e7P/pXMC4H+x63+dVUreHRqtukAG80uzfB
3DSGa6f5gjCkCIrqZ93sNp3FbjpzAIdlj9B5uJClf14sn22gb3/B6o5duTrYMCAiIKnokGlmYrZP
pXs7yUsF2co7AZ78HhwYYCgAj3akG3xIFhNEdDN0w7fqXB3dMI/AZbni8DCw0+Fgp7A0jurjpaiv
c3/uXy/4w6jrw04zYfKi58YtS/yNmQzfnW0eeyexaY/BHQTDqQxl1ByNDWjgEX+YNs11k2bp8lyk
5eYyLGe+Xz0ff85q3UKNBb8D/JzyIBIEtEf8kG3BAo39uI6bo3tT7IL9eA06ECbbxYP//WT7OPhq
6RrC0uiAwckRu8WWRQ3K1CEGf+y8R/29fv9XePNfsBnBYsXb/Z+lN9Hr9/7//Pdb2c0//9A/zE68
v1APIlUNd2UD9vgOLn5/m51AeANPYjidwL4dvvmo8v+pvNHMv1QhDFwISnDgTX6A//YP5Y33F2yB
YHSBP6fjWELr6j9R3qwWLGyMTDQYlW0teLUqumi1M0i7HfPZg2ahPsiYVTv+xYrpffHQbZWmFCSj
Ipy/yActvnS6giG23hZNeFqbNiBZoFSIe1lti3kAw4w5K5VOlCgOmT3IU6OIZYbf1kdDkc2gQADv
zFMUNNttpi+VVwanrANBbZym+s5vSXFVKfoaHBn4LlCUNmdyq7SxwQHtSDMd+jP3zWmp8wRqC72p
nIaitARJDro98OUANZCDCsp9cPqgf8wzHzkz4DcGkGHcjEoJmiFaHOZbxQiJnUkBhwRZTRJWzO7t
qJSkfdDkHM8AfelUG+JuVprTUqlPRdGbB6/zI2cA6WjDlUoVUXHGi1TKVUdpWGH252zNzCC/2Fni
mmlQuy5T7oWNUsBWvgtKu11x47FVCtmib8ArU6pZwWGGEBVnMa1WCO0Kwg7vniut7XyW3bZKgSuV
Fle3BQEx8CzRnTW9Rkw5dLuwRDaHcFFqXm0hzs5RCl8yQ0kRIsmjullM3tUxU2pgjUAXPEOjlXhn
sXBjQjdcKAVxU0I4EoqeTZGYZ3KFhmcLBbFpfYO9TnCDNNpXa4EiOa9KYSCjHXNKNNzaaLo7dMkk
dDcpCr3aWZY1pnD9hyoJeV0E/Gj7Du3OITVr8ksbunhS8mgHOunFIHckF3sG/XSWgyQNvlRqBk/Q
S1bXvKiDfdcyd4+eZInPkedXYF+O+8E24Bgg5vak55723WQM6PvYl+JU1NC46DpBZ2CgpbMRMDaJ
kTF9BIceIlG4j95A2pXHoIF2VWQBsqVhCerp82CAs1Z5Glti7jJv69klCv3R0+sQnODpqJe2FQfS
ba6syeBbRx+sK8MitZNCY8q/TIQ4KZxBthnkFnRLdG88zBoEzBUYQw9BZftQdebV0fMm8N2QxjU5
MH9wFwTID6aIGnfWOxDgvOKZsbneQm2bzVHnYJgYrY4Z5LZSSyDiYLc5+kcH2nrtj2GqnXsxuPSL
gAWDCD1dsi+Ty8chUnFFQ5yPEji7O5HjmBX9GKJGInAEc5vyKVsGyEuykpOHzPazAySmRREhAdUj
UW6Q/AX2ElaLcHFL8riS7awlFEg6Z7BblyAOq3S8DE/ZbnQYFtB4kSPewsj0RhnhWPNPHJniCc1V
1Asdy7LgCbFgbb6TpZi2YMqbp358HQs4R2TZ4qSwpgeYRidDE99cCgX5gXbu8HX0iFPvCgJyKxgT
edfgu9B2PBJHlPMOrtg1OUhu9t4hn9vhhMU2pwXLiyQTQ7MbSuDxoV4ghz1BgmQdRJ0AjzqFbkdo
aV3D8nHjTDpiIEAaRKR2p+VGUje0sBOLTHWQOnS0903Qskf0h+StU4t+71CpZfD/1rClmYOlPIdM
96YMsLCQfGZAmKSXPgcPtVPc0Kb0vswm0UOj71s/asjckAgftHloKRjW0IojyixE6sDSwbZg6U+B
tbhbMuN1hnByc6C100nU1YQlSJWa+HaSoxE6HKy7PXzil3Qps2FfglXShzKQHY3srKPTDeyhjWgS
cwGrwSmrT7TRnTsiPC0PjbEotm7p8X0+Lh4Yh4EDa5YsEDdInrmWXk+S2hdOm4zDDGeJxdPLa7Rw
5rTONQ3Cb6ecjLChPb3uZAZTnoDoV60A8XrjK0OhWNCpuXGXYFqgKOv9LeLWZZYiasB75bnK2mVe
Md6iXLW+SeEh66T3FjNsJzBcEyYLiBno4O648GbjupF9byeVL8UcShsu/CHJ+/mRgqwe2iX1HwEm
MUjnSvheQaPSF6HX9XDnr7qiTys7169Br6TZIykNcbRsbgi43mhF7EOVFtZ2M9+CV2gcZvgsRYOd
FxtiLFtdn+EIVTfFXiJIXLGeRHNVY/lvh8CDL31u9NZBL2R35WYUtjg5XshN5bUwLwCz96poJ/M5
w8kMmYaUgx7lsJT6MZfuMKa8RYIA0wftVErRPg/6TFLTI+WvViCXQatce4IhiUmPTaMX8MXWZfDS
Tf6w0etSuw0KUr+Mndc+T/g0oPRMVRvB2gPaRQs0XVaBGJwEbWteNZbFUXZpY7mb7Go8LlDBQBfW
Qn9WzWKZI6RDNw9owNVlwpelPvZsXOZtUHRVkCxVm2OTa5WWymstRU6VDybA3JtCQNKTwAoOWhUo
mK49aQ8HIQQuwxxSL5iSa91mNKjl7gOcR1EvLXYvS/gKRY0U4mdNx2+s0rt7oeX8KUCux7HCHEGa
F17cDpgQcscYOuQ3aIbSRDNkdzMsqEBieyyrjUbzcqc7iP0iLnZdSLGg0zIn/6faOx2EOXfNy4zw
6y8Sj3GCpH5OBsGqK4dCCInNtsw2Tqd5ez8bYGMsloLdQPIXwx5ifio0yb66w9KAxts2U+IW9Xi9
0Gz6Anfl5a6dve6kDRBC5K5LUQcFfh2B3grhO5TIOPcr+IDNIZd5ddXSkSS9y/uDX2fT1yV3l4T3
4y14wCKGaqNIytkqD5rwMRdsvQPsBckLYmGa1tw2otD6yOLFT4IG97XfQdmfwotfgxYXfXqNa70S
T+nLUzUOr5lW9vfNKLrrrunsJpTIoLpqc98QCSgg1W2VB/y5xW0wrkavOPlV6U2bIl/YrxJXjN04
mcNNF1ho0OSFI0HBH8pNB0mxu4VUiN6WxgQBaAHO9Cng6BjBgmOC6UiDxubAMphnkX5xoTumHXlF
DFlzhK05IbdFRRc3kRRunZIVytXLpyPUwf0YZ4xbodD4EA3+ouFx+7n/nrcVogUsBxolEMGbbFfX
BGt61jHN2wK8fsM+0XKe5xPvnWoLuaDXJJYLNVjozebYRv08iXuYcoGuPynm/jJCVhL2vNWP5Qyz
jljLFc2f/qb8n+n/8B6Cx5Jfl9LcYyMpT0s9Qq0OqwlxV+WtVqXyLCegZ2lBo1QGmdIbDAZuqFRp
EKCOpPvlLEzozxoFnYNmap2lC5oA/bttwUsK/cXpIk0omQMphuylU9qHQakgjLMgwtahjXDOMgl4
mYzpTFj+UpxlFNw0nc0oJ6gayrPQQirNhX+WX4izFAOgCGQZ+VmiEbSGuw2UbuNNCXTzu+p+a2L4
AfmDzyuMRCGSsT3UPWsurSK14+REQUGqr559Xedf/vz3f0SMbHhDwqAR5pEOnBI99QPeAH8MagwO
g2/c34Ax+BBZbTlAowUTPuSbYHcJXPiIGcHn1fTd34USrpirCikfZr0EXRCCtXROAn72SrRD0O8P
EGXITX8U18ARogtPqTCCf0EasIJcjbrqUHSzsHGsKE8gUFqdqxZ1vBq0+zcoWeYH+Hk11qo7IS14
JBjqgj0kZGO3G0hfYf4Tg90KMV+dVpv/y96VNLeNNNm/MjF3TGBfrthJSqJWS9YFIcsy9n3Hr59X
cncbLGJYbX/XOdkRtCNRW1ZW5sv3WntyuvAIlY93ycr8Dv3ZMTSimHnw08TJ2aA/EyurpY0TZeAU
BR8ie81O8Qdf8gRkSdgJ8PM0PxkyaK4JshYyfCrJoqwskdQ/QtnPRZVcJFI9A+Gf3V519yTvWDrL
SyIzDsZ5SQY2wResAyqhiTBPpZPBrxaoRoECCSkC1XuCb+1M3awfO0/bMbbP2dua2BKRjQN2AABz
enxlxDfTHI0oxtyNDu8AEeRELmcNe+Ss7dzOj5zNOihnJjWQw4qQ5CEVPLQ9UFMqg0GoidsAIdVs
2BmCfsHJf6Yx/z/b9N9ICws44v93ruk+Lv/r+8d/7d+Kj7g5pXr5+V//yjjJoG0B+AtKRNjVABwo
yKr8nXGS/wfoOgkM759IuM+f/uJ64UQe1LsAQxvgglYBgCXJmr8zTqL0P4S+FTT3KPjyggbq3b/5
f/+6D36SH4cfqFVmc1gWF+4HBbSz4J0FUAJc89DxpLt8wMJg4N2h1mhcrnx5ggOf0ZtrruZmwwjt
tKF5i8SZhOwZiPNRGuepS2IeBaHKxAgKvsf0vusP40d6bVjGazmYaIK08eIdVLx0TKYLo2o2fxmG
SqIs4QwA/XfqWBAQKAP641oLvYaPVe8UIhQpLNXmX7q3ySs7K3rVXST89//izqBOILFNZH5IuQq7
CWnHU9ujiKgnGlXwbYB0ZU5Ar5ftJA2lFOHbkE5+ngIRCNk9HmL1ddt6RZs6eY3Q7aOXZtYCUK6c
/haS+Fw7WPDj5q0OkknQjkC3MLjTwP8upM81Oha58EVJb0X+uuYYLpYxAXTBLhsbUFGNBdIZxXjT
Sbk3DdH9AMWay7uLSvCrn4MDKycgEDgo4DQm37G6PUq0gOBXrbbGPZIgxoO+R1pi3xy/5dfgC3wY
9laCJkBLeUvusuv4+bL1rb2tCYh/oDcGwTdAp06tJ6CdRzEHjC78HuDBt/kaXCc24Yker/CWuVZ9
jgm0o0tYP0cMOijo7orQXab5maoCzJ2gYiwsyJvXFmgcPA7xSH7F3QEKZMZMxMTWSkKq4297n2TP
qxkOZ/BA5HnUQgDlYASBPWk3Sp8zgixyHlYxFj0olYqxymYE0ZEBV7TI93jLgXRGNqv0I2GhZulC
8k9DYKQGnhUpff0zAFuNZkJWqx9ScBbxXgVFbDT3fsFLUHMzO71WXntIZ7/nj7qbuv2BFUgSR3c2
xl+mJepWBtWNkM6tAvq3vFGdoMnAbNX3o3d5T24u18oKdSByxCBdi+Z6K2zv4/iuG76n/MdlE5/a
AGcjkbD5iL4DiotUVS3sAsgKR7AxWsJL8KP3QMVZoBPqS209BqUbe6opWPX32db2EDC1R5w/oIfd
8MH4zviSLd8G3Yx/voTy8SgP4FUtlK0le6Ev+frtZIODwELN8b5yiuf4qr5CmOyAbDO6Bpn7eHfZ
Pl2z+bmdoKCAMFIlnOqUb11icL2MU4k2Zmd2NLf19F3oBTviAjiv8Qy7t8ZnJoZpc41/WaUVzjNU
YvQ4xc2mPKDD/TsHunQ/ACG23X9t7XqHnB0kGP2U5e02DylyF0RSBzBYibrUyjTriaRbYwkP6Zvx
HiwoKWdH7UZ8aHRrBvlqbEJQxgpd/JPL88yyTLkHVRvmtpwNnFpA+HN0URVIAgLTZzYDo2GSLNjZ
1ibRM4IiCUhwyqMvecZLYQFL0N4xoKtptFB6a4ybtANPdo03POokoOlkIO02x4cSItK0EvDFtGTf
uBhI5YKuypLbdzEHeZh2PzWoboyM9qLNjaOQ0BM9Kjr0GU7vqxKKkFwYYXQ9sq5a+V1sPYl3L68V
3Tjw80yopKAKRLOGO+rUyITEUCqTfgE5UvZpNu4TMbaDaXbnJLA5bv4+8uM+VFIwk4jHy7a3w4GV
beo8JsuIrpsyQdjhLW63AwLBmvzikD8Z1mRVb+BM8EirWgNEGVv4gHbw0LhCpwSUHBC4A/pJB5xR
AtnoWUSGLDP6aodkVeCDFGZknAV6DWkr1DUyCj3mvJMBfI+FV46f3kRU+sxZaN4uzyVrNOT31U2p
V4UsTYvWWFo+mE3lg+mPFZlumoBADCJkBOmogJ+ayI0MfFhhOuAe0b3YV54n37DyneCQlz/pGWY9
jOlz9jl3vwzSAuKJIHJ8rSeAoCTVky4c9TL2MkPahQrDjWwsEukWRnSGLAO8CZVgAPmjMYGpEQnf
+TYsH2QBtYiAcfls2hBU8OYBNQBUHHX3zWUFDFCPCmSkyD+Ksn1Rh8nLou7b5X2wMWcSfL0uoKMJ
BBYG5TOkUQMXtKB2YI8RTU0BRRT4dl6V8uGyGfLGPvG8WJsTO5TbaJduQblTby39tRBNBGWCXXvy
CMIGP/bynYR+0+U6OoDyo30O7lkIP5Ecm7Xj/zSPTUh63xBYn11uQo1/HkMeQr3Tdtoxe4yAFFf3
+lOxA835EyIc3TZeR/AAAAoK3kCQbOMFudcYLRh0Ogz9QZiG1XdQ0w0qqCaZdbA/iug3Lc1rULR5
gd2ZkeKqpuzmrmELu8tT/9klfGns1NTXXRKoqPFCD8HVPXBkvl2DAc/ha0uwU0d04j0eNQ+hV+6C
B3D2oYdCRFU0M1GOtUiMwwqUz6KqzzkgPBPoQlE0RaZOT4SuX1knDJhAPBDIfvRCwrrMDnbk9Z5N
gHsCqc3E7p895z7t4kH3CcIhxk/9UQrieggb49QqD7MlWpHFfUvswYytxWpuxivCKsBMD5L1pOce
cCQRiQLZgJwS5QPVqNAmTYFNEsF2x4q343130GBycvRDaoNH2uYrm4333HC+koQSKWJXPIYUukdx
nqRO10t03xRVuS+NxBaUhnWmtw6VRFogUYkQkAAlv6/ukG5u0T3e8r1VXE02pBI+Ivt9suJH1U0x
Iu3x8j6m6xGfZ2dtjrqyGr1Vm4nMpfawuIor+PIu3PU20qxubLOi8C2/SEBfcO4I2UAfcjo2HgT1
ix6DwYjroaOpPfbDsShB46YzrpItv7i2Qw0qhv8fhQqZlDnxQ/BwJQUim2xfi4eoeRsAIWBM4taa
IRIF+RCPBl3cL6fjWkDTVvFgOf/ckOQYzNeTv9wsVmCGL7yvOwx7WwdgbY+6xuB2OiFW2xY5lAGV
tjvZ6j1Q1NYe/O317Ka35W1uV1asMzOEWydgbZlaQaGIx6Y2QIprxBwEcWvLGFgPl00T4C8g/NyE
gYXy5siKAhahkqKpFtzXQw0kXMmKt7dtKEjkQqSYMISfLlgAzscwr1US8zYZCmPxQfBBenc1ocvk
XbQrL7tmeWiWSXI2VudazGK5AUVIa2mT6AzdN0NgdX9sBTcko/f3oKiJKwBJRMkYgXwNNl4gLiDI
8aEUjMuWZYTy91PQ6FHRYxiq1LhqMJkQ3balihFIf/ZJ0S5egZAceqkENJHSnlYPK1WJG77BiUpu
td3wIu+BI3OyyNS/oG5u6V8FL/aUO7Bq5t8zJ3ICR9pFoEbIHLbb2hyzaoApHqKsKNlSu6UFfTey
/pjYsGkPfZM+gmptn/Qzw2ttnmrAWAHwR1oW+/90hwDqEpRT3OD5ZXCuAmTiJGVAM74AbGJOAyt9
SBf0Pj0/Zhb2MM9A41JOpCiXaahlHOXR4q32hrRGysfmBuogdsl4q2/tfXTfQUwPiDpcoJTXaMsg
AnqOHLcY4luVvxiZfdklbi2RCrwxXpNoN4YE4uncBQmHlshMgccHAxuyEXaqP01C8J9Zod9C9Sg3
JATCGTYSvxz8ZgavH/iVL49FJNcFvfmx3ZAKIGLGEFKlBtNXUSmRWI4UkvsfxaNwhXyhVXoYll+5
MQhOkKmD4nXhlG6nWuxH32ZYgN5q7EYUmXGtUfOpgRpVAeK0tfDCcRtZus3lyq710E9nKBBpCRBk
PT9dyUXpg8b6dRwMN4Wm2uWJ2No2q4+g2ZzA1dlzbdvjJoBWjZkGYOA3tIFxF2ztHJQHJaTHwRSC
DMzpZOM9OM8AyYEnYSlbPxZ5J1zS0RaqivH23DxweA8S3DziOiztqaVFEiolzbB7FPNnG375FHrJ
TeFAVewPZm5lin5LG6miZlKxwJWMhzkGbDF4vLw0ZxkrEvevLZyFPGmSzTMGkwOIZkMTBkrPSzp7
aalrUCEspx9jHX5rl6EzZTVzlGnhWfNJJ7KJ/CqPlzzB4GuoClPzWYEbu0+yHpmJBiy69TDkDoBP
mQNZwuUgRu1iN2OQWBAty3cBqOO/N0Yf+Jfn4Xz3oK6MraOhfRlU1vRTpJTVKBJHROucfK+pHviy
TW5g2CDjOHUHxIaO9wYuIO2MGUVss7QbQ+Hnc4e46cYBJY/LZBs6j2KBJgG8DIUr0j76WUVbRyhC
o2SFiLEku+z2+hGKnB5/zNB6A4ZZi8VJcT5xp8bI2V8Zm+eMFNmbwQLiCnojeeJk4fgaFz1j8jY2
6qkhypkmYO2dZwWjIq3ErRU7RMO1fEz2EeP63sjGnFqiIjy1FaUMAATIlKDVUX8D+zsAy8gGQOct
N8Unwks1uosz1S67CXd7OnWCFgB0TacpGUHgaSyxDtt9rJqhapht9mQkt7+72ckAfxmhBghKDYBL
226wlKh4RlbfAyAT/GJ6xAgXNhJLp4aoSBbaliOBE/YoEaGjmKyZm7/NDlp6zOQ4Ibkwu0ZmonJr
Q9dmf9IbdqKCvUZ6nBWN4V6QugMWBel4tBnRXGYV2NHUGGhoSztC3AMgK81ZPqt0yGE52u733wcG
SaMhgwNde/QfUvt0QM9dwEnZAIBptmu5aA/f+Xx5/c7vU0Bk0CyFZiWNQDyoMCwBqjvKRaxfXt8s
Sm7yo2hetvB5h536KpgAfoqov4uARlPPA7ALG3NVw8QcR9pBUBP+Y5772e8GCZ3o0oKqe5MP3jzG
pc0HEedHeqW/6xP6JpDUKc1FESDdCN4+S8zUyifE7Y8IXaGwqQeD4KvyqFasb96YFoCNEJqCiwx/
0pwNSSl1TQX+a/i9bqd6hpl9Rd7MHtBAY0Pg4qN5YuFsNiI8MLoheU+8LFIGGpWtE3ExtYJBhHV3
0PvobDQ7Ou2TDCBGcdR3lSO/8PZ47H4AuGhVgOCYLBrVDX9x8gHU9V1ABqCQkgBeMdK/1mnxFU0E
T6NRMU7yRhyJgaJpWMSeQMKHntsIQot4FkC0qbN55EUKWzhENjm/kpPdsW6w8wcUjOkimlqQOlDh
C0/vlEFIAMGfygG9JbhTgHB2U74/GGPvLwn3Kod9xto6DIsGtY5zqUV1zWG7J7vharTAfR+HKCwb
jmxmiOtswMPcGYhFNqZlYwFPDho1Vk7mIaWTc7AMCVCA0swxU3ZlLliMA71xONZ26Bi8VqplhJzn
YDUvgyv+wAGxlufGH2ZTLE3JgqjNkeUJNyb1xCS1NyGCjnprhLhuKo5EGgV4jKUqrTmIbTVmBZGM
efzcwKs4ZOSlsoR8EzmJaOW0AeuyCDVWb6svDTl67Ew9+fxzF/mTFAukjvS9YkBRdJL5aERAMl1V
oPtNr+pdbkcORFJZq8eyRb3xU7WYhgkNSFaD41feC4f4WvGglnxkcwtvbhQA+MD/CVcKkPvp4UOP
YmkIOUzlC8gCe4gC1cnXy5vxDERDrmQgBP+2QT9rpBDijb2AqRvcTjQNd9gRAuPKzz3lOnswnPgD
rayArkU+sPS28WiUbun+CyrxzU1DKtZ4H/NAlJLfV5vGQE9Z1owIDWTgk0UH1BZ+5Ko2YfhuvH93
3klsdbZrViap2AvNQFGGTtfeyqDNJS1Xs/FjlK6U+PvlKd5YRZJtQ5ILWRpUOSgzfY8kJcR0BzS6
+i2H9oSI8TLdKBjh1YaEk058NDrHyRes5k6FvOCE1uXhM7brYocQXsuFS9jKk0Nembn7I7vWeefy
uDZ8yolVasW6eiznEao5VpxCnJDzonoygyyx6+Yr+q4Yx07cWCxYQzKB7FYUcqhjV4ptBEJo5BTE
OwjFuZXb7MJ7VOPc4VA9pE/C83CILcmrd+NugIaDDyUDNCQE98lry7iAN9cTYF4VqUvAo+mMFdrC
ahXCKgNadRZbm78FaMS9PLObY1XBvCvg6kXfPzXWpIT4sjKNgxUu6v2ElrwWQvYFutiAXHUvm9qK
LkGrBeIAMKCQsILancFijGMIbXakLDs7Q/8RprbFBNpoL7Eh927PD5XZ4WrCsY/dJmEMdXMyV+bJ
Jltt3TIo+zTvcRcWVWVm0msjMQZIomPqkGN8GpqDgPmWzvhHSlWIuzBDWJiND0bwtawe+2ln5Ddj
ct9DmIMxm5tnQuexMRQCwqfPerZURrZEsNY6iLy53gzvW9BSPyQ22lZbCbTwyD+HX0OrPsb29EeT
ubJOTSYiMh4y74gMk7nIzREdrEMEyMflMVLcKqS2g6lcWaHeIwPPTVEfA71C2q04XBncMfZDNIuS
SqeHfiEgH6dDuo9sHghEtNGXruAIT/ltdFPdt8fRZ3LMbM86jiTQ10C5KNS4k6xUEm4EgEd7KM1X
cOvtRSd19K+G1TntTnlK9g+hrdiX52EzDkc++R+r1Dx0TTMlHQ+/nux0TwZRUXj1WZ20YsCG/uRx
sU7MUcYgv6mMSTGgxbK4SZAGKZu7MmTUobbcjoD2J7g0guOhp5HvVbkZBBkPzeJLJ9zy4Y8u/9HN
jIhj68SvrVAjadsyyQxwLKCk1jpQ13qCztcXxtJsbYi1DSpwEiFJWqeg84dL03NH/aH5mR3Z6m44
EDIp8aV5mx/ah98HqZOjAd1i5L4NjTTNUM400uKqUyqsUliBbUeFbsgQ2JIoPVwe3+YUwlkTshYZ
IHLqflDnWeSjAjGb1HF+Vo43oHJnuM2tfBFYozXUKcBajRc1ZSPK+7HUINpqJVfqvrBRAoI0jm9A
swrcd6APDvzBAe7G6r8RMQb1Hup45eFf8O+TpaL99/o7pNMLIk2klIO3ga+xgrvQz/fdt8yO70dv
MdXRJNJJjuEN9+j7bh+4xGGd8o2wFNA2XhdA3c0juKLMc4W8cH24AGHe1nZQ3Y/t12XWGC51o4yB
HCPkrpH+BwgGQeLpINGfJYhAxQ4AH+T3FeLvTyLhl3+jH7I1IOwZNAHyUGYGwf+pqX7q20ZBFcgK
8wDIXheu3KpS7/c3KHLe6I3lkfs26OYQINjQcT7DCOTFLG2GCi3Puus20FkAua5sUOGnxGeghyW5
xO4FwgGLU3wnjFrqLt5Je72xhx+SRV6Af+KI12apI572C59k0LmzUgRn7tzpd/JcTF5VskCiW7nv
kwFSK0UETnPwGZJ7drBDVEWh9hh/3rLdIXpu34W9iMeR7hpfyiOrQWXr1K1HSTnpjtOjTkowudlO
cUk/NXniJntm0o7MFn2613YoR50WgPJrwClb8z7w+LvpZXQEcKJBxtv7/BsUpWRb8sLb+Cq6VxDQ
k8oJwSOwYoitY4EUsc4LItKVKk0YlxrJ1A4zghoxykfEuyMR1S6/QYubxdDMskSlYoZgAiydBNxy
ipiwMrrneso/2hox9uVDuDW36yFRHlzhJC6A2gyucyG04/kaTT/2UP+QIT5/2dDWZlkbonxkW3SL
0QjkHb2brkgxDTranujrjGfu1q23NkN+Xz0Vhha0GHWN6DabRS9tQGYF5dqYMZZNI4To1QAaHO00
1KRVgRF1IjiEIJ8cWtrQWw3nX54tcmzpLY8sxz8WqNnS5V4toDSMZUk6u/kUfc/MpdOsdpotXn67
bG0zSl1n4ql06gQh0hLClKRWp72A9wiqacueEP92XnHNOkX/RxL+V96f2txjPAypKOE5V0YoyQNs
+dJ7oQMJM1e9QqnOC+9EUK6APmDB+fpQOLM9MJ+UmzfDesjUGrZqBUkPBUOWHox3AnHqP1or2Ame
/B6gwlXvQK50qL9dnujNY72qeFDLGuaTXjYlTpsx3egg9klAth0wMg8sG9QJgOxiWMcyMg9Jzjup
IphlOoOsmvEM2Lx41vNHPmN10Lq07AUlIf0QDdJiN8ABQHrLcNpXkCI4nZPfypkL3LVoN6nJzsJv
no/VRFIXbIX6pzFnWD10rgiWFvJAYnKKZnEFb5hg1pkOnRwx28M3neWvOodBbdxMDmYVL3eCD8pv
St5CnHkQZks9jjawi3ekOinsuB2rwL25oiuz1FblhsJQ2gFmIZSuLnsleS4rBpJ20zuvTFAbUxXF
MEZSjYCfJbdHVyB4v6/YUkeskVB7U0/CsdQXCY0LZDh8AS0YA8RkeVYy/CfLELU79TqvDT1HAJaI
IEpUbqBd7YGLzrx8nDfvgdWsUbtwksq21nXUMLSls3rw1WUsWpyNFgtSWlMAl0XMD0ZQamEMcE4O
XYKQY3AHe35rzeyvwD/ylf30L8RRtsrvJxapNQrFVItQliXZqbJAp1MGAhDNMmYrOEKGwKquWeD0
7Vn8NURqrdK2SfKFnKpqfOYKA/R2zOo4ub/OrtPVLFILtQBUlQ5RhQQi9LzKPXHznLdcswUJt/cd
tKjQbKyByZi6SBNBmaPIwNU2tN2PfBKhZp1qfsODQ+FPtt4vQ5QrmpSxFPkceSW9fhe5nS6z/Dtx
KudT9ssA5XRCXUtwWSGQGvfiXkPnfuMvd/mOhNfarrIvj4Y1bdQul8cBCf0OBeSo41yJJEPTHNC1
wbpsZtPLIRtCaElAhUADrUDdVRQAuQPqEQo4SehsH4vS1eJ6MSNO9fu4sPpWc3khZzx1t4/xyjJ1
qKKpqoulwm0ZXGeP+n7+KJ9SS7se7flKeEvRH5R+uzzUzUO1Mkgdql6dRX0S4Tf4+r0l7bnD639m
gDpSjRKDPHeA7+PT/nsShKDm7G4vm9jaFZBS0ACLkwHNIXTG6xAjXTpOGQREMnO0OHwBhtSxdNBP
yjhKm6EgyV6hAxhvabDfnNqRo2DueE7qLf1a3muiCf5r3IBGayrXmqe67TG7K576Q8TYFFvRxNos
dcLAzChCTAS+Qu47DxyPliFWlhILbhd9XJ7IzdofkjnAVZHWJuSOTkcIxUgJuWGYaiur2MlOfd3x
ZvB92Itg5irtaB9Y4bFm3MEbvQRoEgOjG/o80Fal0UKDYCIDsaOC48Y9CG5kVYBz8U52lL/q37Wn
+Ek+kiyh4IQvxXVzre1Iv868x/PT1W9Y37J5q62/hdpLSieLkUIgKq2DZJDdoYDNOTxYAl1jD1Z3
G2Lpl+d8c/OuBk8lLSDTXBaxhsEXVetxpS+kgifmLDGurWOuAZ8KMC6ImHBGqIVdDDWA+AgSTV0J
avqS522h/6MgBK2NEjDUgBOhgezUyoTu+VHQkPNH+a+xp5f0LfAkkOXHlsi56WP7b6jINk/Hyia1
YO00ZKkcGLgSwBjx3uygqGJNvJnK0Lqe7sAIzRH84bM2mswK2VlnPsnQr8dLzWrXqLLeF6gMJKAx
v+8kS3s33nmnsPHCsRRPfagzq30RX/LvBArJho9s7p1fY6cJicYxBbVerCPPpM2HrI4ys+zCBmyY
iJUv79LNZ9xqqHQHnTCpgrY0iMjnxkweQbsMQXHE/3Zx4BzZVMAZCbCRaKdAUv1JkhQOF5yFyFyD
AJf2f0qMOuiMUQYtKAM1EIhXt4bEajnbrFGszVCxRTyGeTPWGCGR1BI94yjqn73CqLncLDfCXbwD
Z0C4A7O7U1zr1vDyvfJYLziyWelgav0N1PUfyIkSVRn8r6Z9mzlg1JrQMtrJkVNguVqwNOKlfHlh
Nx0DYB4q9PmAOzXIFls9z8HTyql6AixXbXTuVEsOLzqXLWxu0pUFKgBQWzBnzB2cgt6rNiAKbqDI
T4mUMV6mxLecTZ0ONQTQnCCklqiByOXcge2bH5Es6p8XfnptFRC/67PVyYUvGQUjRNyct5U5alSl
nspcrKCUo/SQxQWpasXyphvzhs2O0h/p/zIA2jpdmUxNQgnotxGJQ9D98O/KpIGWmvXk2bQCpRpk
J3k8HumLgesFnQMvH6oC4mIL8hM03kwuY2VEGFbo5w6IYsderGAlgAqjMt6A3vEuWGIGwH9jTcBI
+c9YFGrG8jifY60jM6Y+8ZFopdPH5a288S44MUB5oj7Ow4iTFIIMJBQGKCt8AspYhYzt2SJNcsB4
QbSY/L46k1w0BOUywEzI3Yb6VT09ZyxKoI3TQsg7/zFBbd+gnrS6EshUxYmVhMYjhDIQeYH6Xgp6
4FVz/vHy1G1c0ycGqdAgCYUlxanFeRmN4RjzQgZywAatAjVnIFHdtLvL9rbmEM0BaNIEC4EExP7p
HM6SsMxRLI9WmuzSUYdy9c2sxfZ/ZoQaVJFUQxEVMFLXop01k60GnhrwjCf21lqth0JFOEmp5DFf
wkqjeY2q7GXQNtWtLyUeAEL3l0e09QIg8tVopSXaKajqns5bPEE5QBxhLMyd9Ea04gOYx9zOFwVT
7QktMThsZr9m5KKZZqmZ5PIad/+gjkD5Amr/lvoCWHNauzmgwGAplvSEnClj8ba8BSJ9VOggBIku
Suq+L8NxyeLEGK0pDqxJgKolK3DZtoDOHvRy4LVIN7GrcZfMOVm4XpJAfN9dqbHoM9aLZYNar7Q0
+KUL4CvU62LHf0H/jU2oE8PHcgfCe6CHWFWZrUiQMMP9MypqqYIONesix1Lp182VbAk7FUgK5UBU
4+R3cMub6tHwFIuN3tg60mvD1DmYFDGCECQWjK+i+wUFoLF4HDPGHcIcHhXTK1Nfl/OE4Y17FMhF
h7C0QPDL1SxpD9pTcOVENyFg9aPP2i5b6On1zNJNJ+B3TCuhh+nwTXjBk2Kys9tq17gk1m6hPJag
6UWzhMhq31XJim8TXz5EKF+zUOmbEw3ONp6Qt4C+mrp/ypwD1ZoEfsECIi0Ql8hQrecnRgC1dSGg
KfQfI9TGDZW81KM6nKwsHEAnlZtKBhWCERpyZfknJ31litqxUTamkrHAVBEObt/IPhj/3i6fwy0f
vR4NtTfhTqG5BOEAXGWlI3eB06sDwsIXMRr8ko+9/8watUcNMYaGRTFNViN96IKfv4YztDwg5Dgz
gupN7/Jr5s52ZNcp6cwHuHrK6VCPia8GHcODbW024JUAZUfoDl4FKqbKJ6k3kgoODM1OVyXH7bRs
uhsy/g/2wNoM7e0DqQ7zEvFHp3+PBtmappCxKJsDAZocXbFguUaq4/TmFNQRKk8LLFRCgya6p3J+
mNOvlxf+bD2QWhF1sK/hjsZ00dQrnBa3ahi2eNSkTzL3nsus5+B5/gsWoEhKOFCR4xR1KoaWGr4I
Fj6frCXnD1LLPWtdfOCq4LaSVUcq5Hd+Et1lEd3QWNxK0vZKXft6vziXB8r8DmpbZL3SgLMA3wFi
gf7HYhf25Is7qTX7l58i18bjZYtbU4vXJ55AhAX0rPfycz56ASdYQUJ3rEJrrn/7FYS5XZsgn7CK
6zPEIfpSkTEFr0LYm1ApgswKC8u2PRDIlwGRJ4DLg/Le/Fj0qdQRdlgZkgvFfaIyZupso38O45cB
ynNXJYS3pAXDEPMDB4rWKf8x5F/+ZDV+2aBcthGPS7XoBaZKhdQSd9Qnyb5s4RzLgmGgTUEWAUpF
LywNK4S+S6/rfYV52lU7QrDdfaI/m09pWCb+7qyySFmjVgVyOEpSpBCym7UmhxhcAsNiNzVXvZCI
x6muHvM6W3Zcm+v7OAk4cwiQPLw85K2FQ4ABEkeeJJx16pLKOQjFxmkDsrLuqoMoWNTFIKlX/sQK
hOJ5EJNA1pjOKKXipHSi2k0gIBr8QoZilVL0z2k/MnhRt/Y5aEFIuzuQVQINcw34ns80tcWtHkCa
pT9AuOX3RwLmCJxYsOeRnlVqvtKUQx9JgJEI+lHQ7rnkIQkZg9hYEiR5JJDJoCFPRMXl1CXERpFH
eYBBiCnXAtia7eZUTM2q6xiGztObYIpB7h3VK3TeSmfd8iUUi8DY2SPeupJMxRRcwe4B4EKNx4JO
pWorHjp+b4IHMKKhfT7zws5k8/NtDhc91eCrQQuwRq8ZSMrDOO9wCpAOIKGlDHqytDWjnhW4bBkC
iQuyZ4CkEPDd6bwuddh2uPJxjQ2G3Wn7pn+TQlZRhWWE3h8FUtZhjDBsaWLlCk15k8dVhnEvyFzz
u8EFVm89HiriA8DKWDiyFcEzcle1qtVPwde45f5gx6/M0MDVaZ4MLZNhJotHW1lwrprQzOXdZT90
/sY6HY1EBRm6NADUPY5kL5LnVesJ33RUbZ6zQ30lQAFoup4P2m0WWuySyXkRl9gWif4R0p2EUOh0
Z4xiExpQ95xAAgJBM0+1BD++jvexF70JVmKCZPzQeKwuP1oDCawOsArBXyRZgTJHU+qpVa0tlVrj
MOLiqm7NBuUgH+oYXnZE9eRYPrZQ0fCgo1zvwLpgos+wNtFQzcp4bO7X1UdQ055XGVgdlHmyuDJx
+JF/GACmL9v82+XlZZmhQrcxDKaoBrTOKscFahw3CxrRS/7hshFytk7S/dSEUssIgdKxaRRyy/C9
qUYfnJz6CuzpWW12xluiTv5lgxvXzckKkt9XwVubygNIMZfJMiD9Wjf5Qx7UjNfWeVvq56AAV0Qe
Hll/mqwoChQ9mzhtsrpQ42OrKwJdfinFKOiexDCcX7NgHE0tHMKPPpsFu4q73oMQ31T48hD0iSe1
yvgNAovSuNMLSPVOEd9+gKgvvEqgqriTVAgvmo2ijd+gjiNeDVwnXscil5jGwo+m0ZfcF6hYyntD
DkpGEnN7+v4ZGv2SjELoliKrjfAaijGJfqMYDAPEo59viF8GqM1dtWHPR1BzRdZft3kcaMgPy3Ni
dkJhKjrD2PYW/2WM2uLonkfcM2OLRzk0RPqPpv/GN8+XN9xWgIod98sItcUTfVD7XoQRosMQHup9
7Gj3gc/d1a74bLBYVrYXCO37gD2h75GORNq578Mmg3Moe8lVosdh0azLA2JZoE5QWeG2nngdnpcv
HezWXhbsyxbO08ifB+jXIMi6rQ5pUxZN1PAIp7qXOTOHR8JEaSAdir7ReMe7IZp4Qjtw/sQqIivS
XW3wYKk7tSpPrVEaGRYqRQH+rbmdr0El1YLoILupDiDUeSwcyDoPrE6JzflcmaU3oVHUhga5Hosf
gEufX8SyNBkj2zaB2jvKjwiz6T75NAcSnVdxbc37+cfsSOimSWsT9f477MLHHHg0ibUPz/KCZAlh
8G+T1K5XEqNshhCjUucWeg5JfiMnIOsWYkvLmFwH2+MDeT4vQTjiXBmjR6MvtG0Rj37hjoo7X5dP
3SE7THvDk76ABfkrS29kc3TgIUZZT0WbPE0ilaucvgCZNlk5SsYpv5jl8Njpo60j6L+8dpsX5MoS
9Uo32jFEORybck4eiKKxhLyyGsZWRlSJwfwupSzGuM3JBH4LTksCJSWtnCnG+iIbMzywDHhzlj5C
M9y+PKZNt7uyQB3vEuXweerwgF0y3tHyO5Ub7DRn+PbPpsWzm4SApJAaIMLk1Lla5LKrcFNBcx7U
NrbQ2KSJLPeQbbPn28kafoxXI8Qqja99yFizjfGBNB0SerKGLBSCxlNHAkHxOCjTZIYUjGF2nAaG
D/G2kFlQl42FIkwQONHIVSpnfIUG2ll4jk9nSx6ru15JXismVe6WCQllVzBpgnb7DAmWD0jfaUY9
g9wxtWb+o2cB9VgGqLeXXnIhn4jIhKYRyFan1zpiOb+txZBkA9OEtlP5jOa6HIysrwe0UVVRbnEd
Ut+pbbACia3niL62Qo0jRGm3BVP4jEu+gBSr+EaYzd6B5CJ6ayXwVMENgNS/f45OjFKvSZDXDSmv
waiOiFlLHiUIPyyDc/mwnqPjQFuP+xC5VFR58OahdvMSFVmgjbBCqB1iCNv2b0SjZiEtmd6Qm/mL
eIzuJat2S3TPTwnD/uYOWZknv69igSrRM7RtdTNSAIodtoC1tO+XR7gRcuIUkYckMHhAGVCPOtQJ
c6FUZZRhmjJz5TxCVHsTl3yObI6qeo2gsIol5wQrmNO1SSrUCELIsxtLOVuGD+Xe1oVA2CEFuZL8
ODjFPbgeedMAWDbycbA7U/l+ecBbU7q2TnlGOC3QqQmwPgpJZUlC+cX4fTA3NUJq12RqtAR5maN7
UdMcNGM4GoTcGX524xbGLMoqSCyhiwGQ/+nWECRulKFdjmvfeEgRKArZtdRr5pCxIONbPmRtiBpM
ow5BUMvVjHzK1QJSgzD4iBMWgpicVuq+OhkNtdE1reCbihj5G5UkeYTmikXet1WSgR1o5oAMA/rC
NLqXQ8dsNekRik9uOZvq/n9J+7ImO3Fl619EBLPEK+Oeah5crhfC5W4zCsQo0K+/C3/3fL0LE0X0
uS8noo+7nVsilUplrlxriGrPPlo3eek6EZTwQmOnTrS5e7+TagRh6JesFzZPuV4NBhKKOYPOunNK
muJsx83z117955zp4nJXdpbfcRUpZqH36hxjA8cwv+++Gcf/xw7RecVD1rhT4ipANdTH/JBxVz38
2qec2/THqx+wytVobTSO2WSzZ2T9Lys3TmQYXiBjf1MleynvVo0BApsL8AsK1UgxlqB2tViqzVPd
cSwWjUpfj6ojeWov1BsAdEg94zwdG+Daigs7MrDeKe8yYP4YYDoz2hPJ2AwmVz9kdfNBgr5pChUp
gj0SPGG+Mbn3gN6Mz5gXW8puyEjXyXY7dGbfUqRTYygC6HCHaKv0xy5KXqYzD6Sn+hNq3ZPrfLf/
i7sHcNr/b3n9Qa26qhzwFnoDmjgWFFQ6dSeEbe4eitsGxG6QpKz533XU88dGKZGd0KgF115e7D0g
jI0XBACu4A0DoxdIi9XV9RZLqPukXM7oiIIm03rGdRdk3S1Itr0cnUuVCL8tgdsY+6ORBcsVmPe1
z3l2svqzrvFDm1dBNw63XWr4dMSsdM9dHv9NofvSaa/cms8g1HLZ8Iy605Qaz/b4CzQcfmreaw0A
9dV93j/KNEe79FX2O3f3VtCE8+GdCWjy0pb9fAyErUkcSHjfMqK7kDwOYXa/r5S+9Zkg+WEBAWbi
vqGrPXTiBD0yHUlkO0AEI4di3+h/Hb22LGDMwADxBdQzUTb8vBC11IamrwdE5ZgGQur3wtmrXm/F
YXCQgVAe8zl/YoQdggF4NW9nTwP/F0Epg4zvGh13PHozFQaXAWqfCxMeiLg/r0QqnEmRIGFb8kXN
b2O3CuU3Co5WyOc9QDHlAK20QP3XaCdE/2uzK08weSu1xIbZnr4MYnS16aXfI+be/Eh4F4OVBykH
HhOfl9YlnDRShQ0uwLtSvsXlXkqz+Y3AdImYDl5dkDt/tjBW0yzrCRaa/KjJi2mmbkLDr11t0wYU
VgworCzYsFXyWfKO24mEq2XTAK6Rj9r8Br/f8eetGh5dxDWAOgf98h/afA5qTqNl4tkA2h0/56CD
0w6j27v8ta0CKImrPgozu7DGrS8E4AeKT4a20F6u9o91bUITiv0rR+D5h9xNp+9f795WOL22sPYz
wXV4IiwUoEn1bQsUqUXzS2n5OZ6NO27omL/cO1N7Nld+55RiGkm/fDHTdDPwaCat5XYpMJrz00Sd
0LDvv17klosQ8DQhp7YhwLbOLsYa11W1RCOtvsnND2ofRLuzj5tf6srEah9FoaEXksA/iLH4+L2l
7EWErXQMxUCo7qBNCGqrZZHXKdJUtUoZwwLeqDHzpIqI51wevt6pzXSaYNQSMGuKacu1lazRRFY0
4/LyjyPauKxwU2giTp7hgU8udeddWbJNb7iyuMpKyAA9mXyGB06YLpKKG/Mf1ryou0HaOj8TsbPC
zW28Mrc6Uq3RDXGpwxdGfKgy+WmBdy2Lo70J5s06AwaYDFwbBkiXzJWd2TSNBIAJyLpF5kn1zFfr
JygkD1CDChZyGONklW4cEmCS448KQrk733F5LK6fX9fmV/5IlQZjY+R3mWNcmtle/ffoNiCmx5zY
y94s8FYjGUOc/yx2daJjKmo751hsF6T3S/tcfU2Pi4yFPAL7HVJ4kPSqW/IS34HrpI0gm+3tLHgJ
818seD3MU9cMZ7+C41ru6OuAnCfonteX9FC+7ypJLsv5ytbqyrGH3DBljeWa0XjhvgwL6VZ+7i/D
AQq0eTCOABrU1m3C/SthK5ZRyNaABBSqnUDpfA4DDfoeZZEjd2uy44QLO0u41+EJ+PV2blrBUC5q
zRDT++NVXc49mR0LiejAX0txT9mdrn98bWI5AH9s4pWJlYcOhtP1jpwRlJv2BfwCZ1tmnsm6lzge
VUi7xDvcWlsHf5mR/8+SVj5K+OwoYoaDaMo7IQeFIn7SN7EntbxjZj392oqcog+volJkqG4rLV/E
pdegIWvbO0MBO99onfgwvdGqlCMBbnsop4/3VE9cjYdff6Wte+1q1+wlzlzdOspcWYma4St1TH70
TvlmtnLHxNaOAfZnQVPORB3HXP78ygTVcuCiCE5T1R1SrQqUlLtpBzVsdU/u7U8iC+Qy16ZWQXmc
HZmKFqbimwQECZf2eSls237ngykyPcfn/ar21gbiuoE4H5rvoBRenVe8s1SIlcDtCJX+nN328x6A
cs/C8udX+8dbZe4geggL9tGwXmzyr4mCll27WsIq80AtHSmxAR9I+U1D7omxkzv9OWKChgwKnwvr
DFSkUAf6vIKmspTZ1mGg9e0TuRt+yJ/zL+tN+p2XQ7rRB5gGiK/8VXpgejdepgCaxKjrVdHeLfLn
kVp+CLiKwHy+OOPKP9LZGS1doLhAp/ekjNCEcWO6h7r9098haIgHK4DVkLS1148inQ+ksedGerU5
n9U+d1XMFXSiiiyoUP/b07vImgBctSjV4eWycr6YWWmeZVwCmc+9sTrMQOp8bWFrx0AlCQJdAA1Q
j1ntmDPi4TKWuvRygln7CcPpJT/a7O1rK3+6ONaBZyRkpBaxvTX+32qdHC1xbJkqfhTa2dhD7W6g
WmCAUIqaEqpXAAh/9sC+HR3ZLd+kuvQXw5cHftBOmrfArqtod1ht8efPVx+sYZYRmtsUg7Trz2JX
vIgno1C94hWULaE8FOAaJpGELuN+wrDRnflsbRUfJtFaFegY4ATocxHoongOCsfe6FYHegebvjyh
ngqeVxfiF7sCVVvevuhhoZqBdht6bp93tuxjRVNZJ71Ru1j0e56eM+uRTv+aUQptXYp6vIm8CAKY
666XIoY0qSZDeqUzuwx1W/v4tQtuOPonA6ucL1dVknalKj3KEtdKAFds2DFvd3iJthzxk5lVKJwH
q6vM3sTHejPe+iMGTgPjwQTPDWAt4d5s3/aaUDIxloF+TGZ8/jaA0SjSbkvouLK/+XAAps/V+c6+
6ZtGzGXuAxEIzPWr611v6Ax9QBvh7ld/AX2qH1tufGODq4PdoraPAjg9pr/UMD3U7bFFixmnwAFd
R7b7RtiIIks74z+/ZH0Vd0xJ0kJO0mss45gP0m2VvTGDDW//ZGK1o2xIYF/F52Na5UMgzMWbxDPB
9zKMv772xz/5iRaP/2c166mr1Kp0gD4tqNeHOE3mI/Dzd8rd9JZN/wsNUZ/AYn4CPCSMw8mjQNCr
b4x50AxZFOH9r3/On9n851+zyuZRTRaCF5r0uFJ6pAeMvqZubTzlRDlXxb+fJvpsbZXLS2iD2cAp
YZuz8lelNK4chuevFwTY9Z9R+mqD/0BHOyTFh2QtTkcByNdEL9VQpmHJmt6jJEbjoOkLH33c+SZt
svgSo69zl2uz6pJ0bCNdZ9OBF7Q9qHyY7wYjySKHl+SQZJV1rEoGlV4w8PmGkZMoK8fuQLKqbKFz
nLWegcL2QwaC/7CfCFoQfTLc81SrfeAk8fTrRc8D1pfa9waTFR5G0qraK0urEC5wYx2Qx6X40HIV
Ib1pgaLQcsaisTJ5AEIFPZwcR6sjW4K/oWJDcxkkYZB95O/CiuvnqmvjQ8HBAJ92ggZKkn9P4rTz
yzSrAJxGw1O2KXjIRTYEldWhqOHY6W3MHQWKc7oTTVVehIKVcAGrA3U3dfKLribQftdldV/RPD20
EoRu05QlQanPSRQrZhlVTpa5IwiCn8A0kz7O+QAVb2WqH5Iyt29oYmQnAb7+U81IGo5OYwJDq4+5
W0ue+IoCBVRXHTMtiGuehOOMU57VWfqoQ5rXLTBCd54TA0ovg1aeph4A1qhsZ/U+JkwDEDOt6IGZ
BUjMMLbuNqnhhH3L4iPNWXNWM9A0NJoVu7bRiIDLCTqI1DJd/OQ2MJlBXT3uENBYa7h2Y9b+mMUA
WKKFdZZsBF9OorZRMxbJQXO69JjG3Mb/sOpkA7Zwr9cEf7NptH5szEZolFl6rs1SCYXRo3hiKK/c
yRO3slOAcTDg9kJ0CIOWllkFYzlC29lyUJ3LkEtyomde3WI+rashHDAaWex2vP+JyQL1MsVS92fL
ku4AZwtyURdeUVT8wU4UjH4pc6r5knHNo/hPDubcQZKqVapbqINqQT/pLaQUU/rCFMgkgJ+vDcRI
UH3QrPLc1SWet1AnPIuiMINKHZNwmFE2Fmoh7yrdnN0U3MGBo7AfwN48Tebfsq3qgA+1GUqT5CGH
6PZF4wB+K07NP/KGkKgru7oCAUwuTmkqx6OcjNjLC1vxFa3jp2bQSJDnsRq7Ux0XvzIi+SHGV3t2
JDVcZvTFIU1S+wekCiGZRiE9rUJCDSARbXzqVGaejcagUZVBlL5MU3Fx2iaBgxgEWP1Ez/lfXLL4
CcOz8SNufg0CfYXI74hiayiJ8mrpohap28gOV1bMy+rUQS7Fq4u2QAJSz+pt2Znpj1KxGPWHAlse
g2wVrd65yG9jmvQnjAGK0uUc2a1vA13K3Bi0r9RPu1iHqEtPvnPZJm9iSNRzrI7ysQYH4He7Lu2I
TMP8CrQjCm2iAEX/ZHC/rDX92ayYgUnvJD8P6qgdxZQABlGy1q/AX35flHr9g5PKCRyoHj7WmlP4
yVjyqAVFr8vmMend1JzbX1QdMf6hRZbd+ElfF0HM5HAvTbu+EAlhaDFqCspdbfujIW1KfXiBeCWF
In4kKego+6Z4l9pQhzOgwKHqpOmzmEQWYIzgXDCzvxmxdcEcp6MPSKPu1mZn37CG2pGVm5Xtzdhk
NyfNcMbIoBoMCC6+0tIRV6m07NozzVr1TfCSHjDpWQVNYZcexg6skCR8QlUHGutmZcmzyHLFL5B+
Hjt0+AJLE2oIbK2I4pwNgJPT5jhUTfEERiM9yjI7j/CewYxRpRAYlMBxDrLgB3hHeSzTtjmY2qyl
UQyKDvEjnmiVu8AnZ55TdEIcssRKi9wnLG8bnGpokkKUdTSPGpex25LlN1JzmZQAIXrMizLQ0bZC
/NBMbxzsPsyhXfoIcIn0nCTNglSZMq+HEMoT2mbNg4J8E8WXGdJ1DQHdWTsVSWDPo/Jo5U36RPua
PfO8LyKbTw6kmAzeuA012XEQGdgCS83ymnRSDnGqT4G0wVSBVotymhYC4Mays4jpELKY1VEN4wLK
aiXvzdPUij6QZdmdm14vEGHLeXiVJQEkSYNusBEM/TC4sZU0lQdmG/FjFmYW0ax2Dslgp6pXAQp+
V04QbMu1uL+xC2f+DlRE0h4aNal+JhOII7N2RgS3Ve4XpXDa28S2wamL46ZgvJYWVIEqp06UTH0Q
U39nQS+ies+hSPFes46g+AkNY3oyB0HHi1WpjJ/noW6fdNrFxcEepWxcQXUFh7JkkxNSZhe6P5Sd
JjGJobMbKPWIc1M1mqu2uGHzcipDUcv5r7HMLFyQBb9YpLWI2xUaf9X5rL/Wc05PRp4OoZJ1Iwhy
e/OmTVXFNROHHKbKhIxortY+UZwBSIuEiwv+astttLn+2cx69aCnXLggmJzd2dZit8bol8/BSm65
CYK7RrRHMZk3da77tQZRSU5GV7XQ3Lbqo17hxMxoOENxLzKml2Hk018NbbLRtSvo/dhN8k2wR1QE
vqkdRrgcXHsmjbNQNsUHiOMjdciibO6DUU3fhdq6pErn4zi3hV+oxskg9VHrZDSMGQrYZAoycSfs
N2eyw6H4SGstaFQnZNQ5afYctcI8DHoe4j78MBXDN8j7lItgbLCRWhqKBJXjvCpBcm5n5DU2hRop
SkI+sjTJjoDLYk/QZzzlrIzDmEv10IxCPaQ6xIxx8uZbA5K3fxVUgA9nyJz3OSlNT9H08oQTS9zC
gShQb5TqKQWP5D0hiTgYvR7OZj8c8IWr2qUWc26GmouD0Ao10lDQfJADJAoHRrsfprSLy9QR0CoT
Zt6MpE5ukzwm6LUb+AxZtmydWtyrymAfANkpcccfQduG2qE+3chxUlyUi+5MjK55ViNml5Mu/kGT
gfiGHNRLYrTm40D04pYJdXpA2pV6bcMHjzeac6G66CPZjvNdKwb7FqyNoKMjTlK5c2K1kUTT8qB2
dhzwQs4vdtHjHFj5dKvEGoQyZ00HJGFs03fSq+id4g1+btvSup3URLsbHCM5KClgYroyQRIAE9V+
OhlK4U5xbIRA19T+QNJT1RPup32q+KRogJkb6rk4kXJAamY1o290ortRtNR6N2ORfMPTxjTcRBnn
yGxTSC+OeX+H4RP9AvlpPSi1qgllPuuxR3lcPnaZAkQTpfUrQ854BCCVHhWHnaBecGsqzimV/WMH
1SGX64ObifbOxv8/YHi/tY3IMLtbYY1BXoP5q57v1VKGFRNHHF3HY3H8Czhv8twqOsJsX4Y1ky6f
xCVXwBUHZMM9Jhrcrouf8yH74E2Te4geJoAi/CQ0405ther2NYGwMN5sYKCWbsfaJ6VkqkspZRcw
qnUhWqHJqUZa+b0sZiVoVZoFTl+OlxGTrk9NUTcBdPdS6cmiyh563ugRnQdkXXS+IM5mgWkx+2R0
pPMr8H3d5YNVP4mybjwtSbJgltr8DVe/cGNb+tS+sWbre9/QG8r+MqWm3qmic8JCjKVn2ilUgg31
oaKTQ0NMK6f3eC4oxrdsqid5DzrDQomKpM/roGtmJ32b6jJxm1yTc6B1OlPCDIiTUKAnWbuq05Bb
XtuSYvLfzPw+tfEjii63XguOd4M7iLJIPGSLNEqRVt4DY8mOKSKF6dJRQ2G2M9J72inGZdSWey5x
5kPeU0WBkrySR1O8ZNW9kkW5Q/PbWcmVCxM2pnfRXk4DKM5QNM9sMOO5BROtN7Ic6nW1g+QHvpd7
yciSMKGiOqbDYB8roySBZTFxQhe/dwsjqy5oGKieOozyNc2luNdzZp/nQib3VppxjtZ4TO6muq65
G3cK8FxJYp7zEhQuhxx5JVgzaXEcaL0gxso6IHknFL/KSnYspZ0g+wICx+ODSqLGiskBHxXUvgUR
7+Mg++8sodyblKLxGzDO36RLA66Ppd/WuM8GFe9+Iwc8rbH0M2iso9aEtwDEiomaQtXfsnTWD1Lv
6F8jYplbGebtMGs/zdQykEo6GAvjhlP6YkwdnFYqwlwbP2quQfhzHKv3vqJnS6TtR1IOKfYPb7aZ
GsgYscE1Lh7TiTJWdb1bItUFwbViRVSq9a2Ryu/aJHu3Gw3fUtksDxYtfvEY8kNF1bi0nuWNWUG9
mE+3mRShUtsRXmR+5wQQHgdHnnns+9IbRRvabAztcfB7m96bSvFIVbBeafFL3OUXCelQZCZ5MIFx
KJFVwHvnmwkJA9NGApeL3u0FOxEA7RTcwTkeXDnT3pRJea6UJCokBHpNHd0f+6YQ1S9ZY9a7pW6F
7KQtIM9mVZUfS1xUvdDvZmNsXXOUXQsWStbcMaHJH7E+xaNfIdWYMz3xEKm0Hg+JZjxXIrUJJmgU
7aDkRf7Y66yNpjlTwnwQVg4lnHa6T2bGbkCcxO6zkdm37SIyKY3k0cZ0SsRGqQb2kMkTytT2wRkz
cqpsFZSBSXNPrSaqkiYa1KpwRzJPJxNvyWikpD4BXJbdCVJaXjfx8kbmwBRyC7qqk7RUzIVSHiiZ
VFEAGNrpaZ5U8q7XpuZKMd1MWvcYVzX1QV4wBFAk073eaRU8MSHJJbj6Kwa1eBO3N4XBjNsBe50g
r5jLQ4dk3uut5BEvj28isfhBJ0MeEgoqXlDWv42kLP3GsPDRDTzkVTEeRDXVl2z4y1InjmZ94rwV
DgWkXy9aEEHHVqCDiOdFzyCSXGVZfmGTLN8HEfePPJ9tD5cbZXDpxjxlrDAfylHJnysL1QSTZgya
OMp8THTuHEyWm35BF9W7mQeGMZKIARf8wjJkpfZkKm4lUa5z45jZGFQ0Ch+N787Ao0Na8AikTe8o
LTSu4mC6yx2tdHrJmGn6JmfzAa1lvBNLvGWCsgVF0KJh+cDKavxgFJM5WpYQHvaZXl+0UR1fBdR0
XnReoI+a075hLu269gdHeeaBMbbgk7BfLTc0AMxL014mKwbfcVgMBFNt3mmZyiLT0iDQNvLON+fC
ekxiUeD1MM6HuQIPoxeDJPWUKjq+d4XHGpxTPVmmhe4PRr2cvymvuUemQkZk1MRJ7Qf1jjiWyjHL
a9jHGvR2R0UW2l7D6+uynfG7HH3VOzScUQyjzVUPj+LMnsNWvMYtaOXMZxVTyl9X1H4TKKzaHp8K
aqtuFIoauTI5jYo2X7uopqceMtmFgdpw0ZGNxuOibqcEjS98ZJdn6OkZl+RUnsVb/SzfuaccEQP2
6T82y8KQRVsoOVEJ/w3Ev9oDZcrBVKigdTCB1YlN32x7h+Vksyh8ZWBV068nU+d0QEXKmXDsLLQ4
1fLcxqU/wb+/3uPNYvuVqdUWa00zYfIDFX3TGQK1B0IRWXyc76k375lZtvRqy7okH7tkRu2ZI/F1
9GMrmfvvVX2WAjcF+ww4oNEpXU9uagRTFrwjEiibRXNNCYyoO+qHPV7bDQ6az3ZWNXtcrF0VT7Dj
PNEoP46QpPxLc7OgeFGfUJOcDiRYyucotzWQiF6U+boDf9kroG964dVqV22S0lAz5jRUeoqV30xZ
d0bFZmeGdMsPofPpAHOwDKOvOzEFMjeo4sJENYVV+93q8dGUu2T6+bUPbpgB/xH4fNBONQ3zd0Po
yjlipyZ1TtHNdxi4UoF60Pq/FaM6jMq/py5bJg1U3VxwAxheXnl7q+Ge7ZdhutSyXYkMakx9yO16
X69H2wiSUNVGaxGYSFBzkdWnSaeSk9gQgPI9iF/pPRTzyt9CnMzLPKQf9K09Q2S08vtozzc3ztkn
y6vuOi6cGNKiWGCm3DcWKJ9m7g9iBxi1NEtWYRmYWJDrLUhF8BKtwlMr5jn5Dd6bTyPmbJKbhXQJ
j/Do623cXAsYFSFvD2ltNL4/xwynzAe9pYArNY1xqbTu76rJAj3V9tDFGyAfeMWVoVVwIo02gsYT
eBjLLY8KKOoPyd+jhxrgcT62Htr50ND4emlbHn9tcRVBQPglmdUANlIqOL8AdWgAIRLqdvPOCd4I
Ep+WtvJEEdNGaikMpegCxb3lZtbh66VsWgC+GKI1i7i7uVpKp4PrBRAv/O1ocxf5a9w9f21gc6+u
DKyW0KGAiglmuIGNouDY36RS9av2V8x2+s6b7obpFlQkMOgCnrvP7oaZfyWmKo6OIQB3AC0bpEU4
IH9aH369oD1DqzPaamXeZtkShKbK6+LZ5+Mryo47y9E3upGGdbWeVYPVNETKmxo4svRIzECmmEXB
FXXDz/pd/dNG/yYwddc8lN7gOk85uud7F5S9HNA/4sTVL1g1XYmpQhEmzQCxIKhOFYnGvlMlnk/o
HbRvMzhUnzEYC2wWT+sbtGQY2nfovSWFCpXR2RJ+XfCf6EJlf6PbwENFGvdWNmdRW5EmQgl7jNTa
dgZU3XLyAGHXOcygQcy8gRXTz6RGbjZphf6WVxWQCn3d+0rGstdOT9sHltrl09BP5TGuaOVjwk5/
0ackPdjgqgFffSOjWTcU9MnT5mYuWemS2W7vMk19T1LgZxso4j5AUJ0D/gCmiBGtyW9o6zUoHGZW
hH8D4sCVMX5YYPNzEVuaiKQ5qu8Y0gk6mSuFV/aOFbDOtPyubPpwbtT4ZpYxtLsLrY69ZqJ7V8PG
RArC3D+f47fDXF2zLJNdXFIbYe6puBW3i+iTpXo0dY0IU6HnRfPEQok1+Nrbt48vBHtQ1EOqukZi
VSnt7YkCVw7At6dXYAKQHIxO8oQ38//N0upagiAmR4UdQH2Uf/0qV6MuR02PnQp7V0Zm8whDZkRD
xRA0L+ut1NFKyidVQ2M9NCP7JH1yyE6pb90akfSGIw3Zrvr0xsQrPh84jRYcNwWf9QpPpNVtPBcV
sqQeA0UVgI/cow/Kk3latEjjI7oA/GN6rF4X1vIFlTpcMH0ovUXdFf+4F12W6PHH2b76NevNHjTA
Yok+g+SbH+tgwd+MIfo/Prp54mXRStJO49n2zScrmjHqVIRxgBIM5t/QVj00H//Fp7eRa9kYkrXo
Gh8XJ0o3FCinezFI2rS0erCgDFW1/SX+98Pcy1f4x9IqV7C1VtiQWEZUVVCWKn6MBtR0yB5/8aZ/
YdzXAcOfjYR4dUVMEq1eNbOQH5hFRIV2KjUVjaZk5ytu3t1XZlZXRNd1jp5YuLsJwmqfo3CP/v3X
X2aJ8X/4yZWJ1R2QkdTsqhEmhKDcHaR56dJxcCm3gC01QqWgL2Vv9MDxD/dfW95eHOY9l4kEHVNQ
q/s8QSVNn7GHzuy4OeajLXvHwmZEBec3oNoECELMWX02YbWJTVi5LM5LnwvcqaW3CIgu9Pb5q44i
8KUEBSn71yoTBvjU8KoANzIBPnz9LOsZcL8mx9kzI+fQvE7P5RM/oM7ukoDedffLXOGezviWQ16b
XDlkXBEmxIi7w86N1h2M8tJ3TrJUyv+L5GjhHsf0Iq4q4Ko/b2lKhyadFSSrs1r5GND0hfNR8f8i
K742sgqldYamc4auhReXsWuZb1zbOVjbnnG1jJVndAK9zlzC+dCH9EHsC1y6bx8Bp3peMMKtN7vg
xtyrzW1+JNQALcvWMB2xpiyWvSCNjkKhl7fq2Rpuq+ldcaz/6gP9Y2S576+yiFGIGqABrEzJL6IF
zh5NZoc9fn12N4ao4eJXS1n5W2lpMZ1HY9k/1RtsdxGxzfAkU/CClhgtNAJ2N3zsbeBWsLq2uoqH
Fq0Tfap/H6yFYOE/BaS9h+3mg/PaziooAqCGPiEyYZC3LqBW9EH98ZtE6pB8193092X69X5uxcIF
TgslJrTx8cb5/NG6TlErzYLDA+bmFoXqlnP0tYXlg6zjPPDwoMsGh9CCmP1sIctNqrQtk17asMxT
Uu3Vie2HtDG/Z3lfRaMqgq8NbuWVNgUm3lruYwgJfDboaHwAbz+ufAwb+Dl9TPgN0wy/U3dccXPr
ruysTnKj6OMsQfLgqZMRjCk9qeqe4NfeUlaFjrno5rZZiAlwgl1HaX3oIAIHnHoaXkJf79reapY/
vzq9GC0oK64hcS0TlMip8U2ryc6H2TOx8oTSoLkhl0txEJAe7dB44juL2HzaXn/7VQxiqWgUwPBw
fuaAX3LTM70ynKCU2WmYzbIh3K2gi4XkF2DJQ6MF82Hvbbss4g93x1GCNAFmWTD583kfrToGTeCI
x7Wpcd+un/VZc51q55raNmIR4KJUBFx1tUzVBIoxW0ZyQdHlltkHZWqQ7b2a9oysIi20Vqt5UAfE
cyAWHet1HJg78Lev3W7PyGq7WJ/0A5QQMCZVo6Amc7cRmJRB3+9rM1uuh7Ei8G4gFwO10/Izrryb
DBxPfBPJuWo+5xNzAWb7vxlYfREQvDP0qmGADAyjh2akNmQnu9tbw+p7KMj2pzhDAlRrySm2nVsn
4TsEzZu3K0F+sLD1o+f5B53LCNZGdcn76Q25E4H5IyyC5OR45B2zaxCIsvBEG3P/673b8oFro6uA
XXNL5qAkwJXeAH9MRfOkJXnu2Z3919eGtnfwn9WtIvYE6twqMzGKDDliN63fTb0N/gsL6LKCaxXJ
P6b1P/tZBmDDGAPT5OnJGzdqt8t2GoCbS9CgG4IKgwY6g5UBykFfojdwAqOTR6YVl67qwq/XsDVD
CTG6f2yszmRtFo2mKEh27Jv0ufzLhDoXCevTwpslwqg+9QfIlgTmJT+0XnPPwv4B80Q7G7nZKbn+
EatMKDd5bg3LjzCj7FEBqcylQ65c3qW+41W/ylvttQ7TM4/ynVrR9hH4Z/Xr+T1g/gXjM3YY/GEX
gczrYPjN/9Is81f6U75OEAjce90s3219bVwt11mdAbVF4x84Lul1pQgBzPI5BRhYdgFzeKSL168/
8dYgnwG6Hv33KDGaXqvd7QlTh6FD7tIFeJrSU3+XnJdFovnan6Er7WleYvhTgAaml/iAUX1tf9OL
/zFvrbLOUQLSWExI0QgwPQUbvUHuHPUNCQZU4K5MrDa0VRSbSYJ3gnKwIWaancVrcQYU3C9u4gO6
zT/Kx/liH1Kgpnfums0k/tr0Osxo5cQAwFo8SHvTQusiIRGeXORp9nW/ARWo5X+9nZsB9GqtqzSx
NYH2B1wHBQ2nQSVcccuS3HB7j5JWW/bsDycF9wXIXGx0f9fFTcvpNSYdgjrxHYqNx8ofP5wXEoEH
5O+9mvSmhxggpgXBEki/1uehLnpE6/9h70y248bRtH0reXKPbBIkAfI/XbXgEJOG0GzLGx7ZlkFw
Aufp6v+XclZZoqLFylz1ope2FEIABIFvfF5UrAONiCYANEao7PrjRVsbYfGUpkaL0snAUT0gGwGj
Og7QX3r/8RgnGDjYha+msXgyNR5NrWc4xYZN+UC98aI7swLmRjfm5gUuvhJ3OrkRXg03z/mVmaOi
skbVP0w2aVA/N45W/oMPf6MT/M2c5i/xahBSGRiGwtRB4aA7TnfIz6zs57VHszCmymYaGeN4NHZo
Fn492ugHQzPc33o2BtLH4ONxxEbezkOPehRJ2fOzmXTUpkqgAYQaIdYDkClKsEW5j+UYbqoaDXVD
zzXUjdP81kqkczR1bTzaupZuP/5Op5/fr6+0mHhk1E5m9TgXjTHxBPJeiiXbylgZZf4r715jg88Q
K7CfwHBcTLzMet5LHBdFKbegNP3oIrJJ7ap2R9QufzyjtbEWtgQKHgdo4czHMHgLJXN2gCJsRgMO
Rb0mF3B68X5Na3Gn5SaburSf/fEx/B4l2X6M0r1Ayd/HMzp5UyNnhSTPC0F9MUxCLWWGDp4Ryik3
ZHzm1vVcGdWNhosi+4/HeimYePeofg22NEbaSZbQgp/jyAd7a/jyEKI3NwiPbIO0yeVfxx/jtHo1
2uLO5HkdNlLa8DBqCBOFG0JWeQUnX+1ZiMCGFuCsT/R27/WWnTWw6nCuX4NlFdTb0O8O1mXpM9c5
ZBvU2q8ciacGREEe2sURiEe50sLUKJXMuwRwIG+yblC/73bxt5VndOpWfD3Cckq2PUUTKh5hS7UP
xSbbTltxBWBpIFaFa0/tvddDLe4sSfU+a+ZoHfphESU243NJ0j1tyrO+k1+GdFpxOU8aw6iwAXlz
DrkDJ/D2cZE2oboqYjA5zvXWM3/kMIVDP9yMn3Vvpj0kQIrCPlw5NE4aGpBQg5wbdDmA61gczXGT
NXHTCyDi9VD4dIJGIvrlIl8pY1cboR7Afj8QfDEXtdB7yBk/57RayU+dOrlef4fFWWy2fIoExWN1
LNSVm2O377PxkGS26fbk6eM9tDbW4kSGNk3eAxALt1GiiJ9/5+l1Dukqm8i/YXi/ntTiOA7j2OLj
HOXj0ASXCRxUe8V/Ov2+/Xp0i+MxbbqhjA08uqEAsTdux81YrKUOT530r2axDFpLTltTMDwauze/
JrHcKbuV3mD8df07arweZ7H77VEvRjVh91tmvJHFRtIiKMfvHz/7kxmh16MsXupcCfSYC4JL/zi0
W+rRQIe/YLr6QZ7bR/uz8VCtVgOePEj0WRreRHRfW56KBXo42TDiIMmT6Ih6xSBqSnCcrYNgIB2T
NUGOk/sb+CCTGXMZ7ruoRVWifwQ96R6vAsRd8tRxzb50R3utfG7ev8v7EkzVfw+02N81hZZzlmBn
WPozMIPuMHzLxdmgUZ93X1m/EoY9vYoA0iAlBbdomYxXGbrP2giraEwO9UhBoPo0nefM2TehBEmY
0JUzaX553k/v14CL6ZVCTHBW5uN4D/cLUOcq4Id1qPNJDxZ4pH9PbPESj1oUopgBpnEdqCfnMw2m
neP1G/YtuplLSIT/d4wqSKqiCglwjPmafnvP0NpC3Eykk6cntWc2X1h7JxEC7Ev465q+YsGd3CTU
4UBmzbz/5WOTIo6sCT1LXjnFW2LeV3q8ScfvZSQu0qjxinRtV56MqNkmiL/wmS3msMVdIvWs1qEo
jBzYeRuEaOmKgu4q9fGW70tvLomJH0bodwAo6KHHCRGXaOv403O7W7O/Tr2IiOoCSzanJ7RlXUJj
R+gJZegLT+BSy7nxz6gPmp57o37z8bF2aqu+Hmnh+ZoJvBwbVEYPnSnfwACAImoEdvO3rk5cZ0jR
SjTuKL3/eNBTl8/rQeefv3JNS9Q3y7HHOjPwFDCoy9Zu6lNXj2Ob4NEjBgJRhYU5OZYxejsrNGCo
AlU+8Bap0QMlMK5YQCe2KLaLjiUCTgntJAuDoOw7ezIgJ+hFlHhTuO3JNjSvQ+3Blhr0ep4/XrYT
uwKjwcRDWZGB7t7F9qy4biPgjkk1hnanEXbBuwFwEvOraYW7vzEU9HGBoHagE7okTRqmzOXQALeT
IDnXIPDShOgWrQrXide0SU7OCklgmK2zw7EsGGlQ56rAtMSslNxrIj4gXH60y3hj0XbF6DllJ0MW
79dYC0shwluPliA8L3M7N9rjzJzrOkLQIFnr0W/FAzLRAaRe/I9X88RuxLA2Cn5myYt3As6sCCfW
Iak6s/HJthSFfISaHU5R00jXOK4n3q03Yy3uBINoehQN4No5XfxFaqD7xGu6uR8PoS8BbxPTIdia
gPXQ5I9t+ECGFTP75HIBDmkx3DToJV88pTxPkxrFbHAromxrJ+MZsmD7WpR/w2uCF/1rnMVtNlKm
6jgGp2wG/ROkLSCXGNjEJZObur1fXDZb6XdxYN19vB1O3dtvBl4cunUUITOcvQyMVML4MMtDiguB
Vl7Iorr2Jg7ii9Wis3k2C6PEnOWvoLaGkjPOF0aJRvIchRhAEEKwCUbkpt7a/rSl3/JLyyvQIvHx
HE+ejHibwPZEbZ2+7CqwQ2ccUUuM2RH6UPWf674K8rbYVMYx0XqvysTKO3bKPsf8fo24OB3FJGmS
OvHcaxjfRaaX3TCvOEa3zaH1UaKf+/p/YKCffBVgMlizALyOTqu3N5mWVsICRAToqabyWtCbnGRl
l54wXuf8oQl7nMLUW14xoDFoQJMA6MlAGzFCePc83RTlRrPOsjhaWcSTZ/GrwRZ7JO/6wXIEkIdW
+bmFKuTQgnsxFX7Grz/eHqfX7desFuuG7Ds4RRSz0kgE+EqSjP5UrCUnTp4jzozfozDm3klsG5Ug
VAp0v6EozKvy0ktjijIM9ncW7dUw81xfWTPSyWmGjhAYAV17mDgy8ZoZVPrnRl9zdE++VK9Gmif8
aiRip103QbLey9WwS/FCUemG3TkxQy9nd5EcVl7iU9sBlZwWLhQ4hO+0eNtw0iKrxQKGTrah1RMU
UIGs/YImm5UlPPWkXg+0WMJeH5OirxuY+vohZimYagJ6oXcf77lTq/fC+mXQygOMd3GtOO1Us1jO
p242o4FKOLdZBKVuqa7irLi2M4egh4tsPx719NRAGP5z1MUl49Rq0PIer5TZfNUctME9SugAfDzG
yQvl9dQWFwrB4QcLCoM0G/vaAucVzYku8dIfrW941gPdQfdpzag5dTC9HnPxzBzIZimjwjPrJrpr
zC71tUl9cRJ2RmsQmERLVtz4+Q8uL7DXAy52Pygh1kQc7MZ8uFX9nbFqD5wcgOrog9OAUIYt+vb1
0roh5HoFMy2NQYEen2JwH2VOD+hK8fsYvMWo2jYkDiawFI3qByGRG8rWteTXjx/nyS3z6nssTuGq
7jneNBjflLR73J1J0m0s4BE+HuXEbFFjhZiIDiuLv2ulHcB6VPWMJCay8GITG2StO+HEDsG9CMos
fCPkEJYvXDeVeYtDBWGQsfnSOdcOAsE0OtCi9IeyX3nPXtpnFtsDo6E5eM7LzVqfb59ebE86JyUa
4SsfMuVPifTSR36Gqu3YlV5Z+VnnDnMxSpB6iUsPwzNyJ389bIuvYFsGBB05RVP+269gsEgkA5Jz
Xka08dJk9hjEhcg3Hz+4E6eyhcZkRNxn9SPklRajpBLMRQ6HSY1fdAsKynh2VL+sGntlh5zYh2i+
gO4Ep+CPvWtYqivg0juYAV6q6TiOL0DRxEKuVEqdOJXR6w8JTJz/yP0sO3/A6ZKUxtjsrT76cJuB
F/o0gDIEwp9rTzFa7laK5xazAvVYR6IE1QpzTtV6t++dRKHipID2W65d9dEtrR/7olzZCMvN+G6Q
xeEYGsqpMyB5PP02eeh8gFsCQN+A7jyIgD7Ola3ZVmwhlJ7dRZCS9IGmWjuf1+Y5//yVsYD0tN5P
Wlx73AHc7Fgn97xb86fnK/PVO/dumvNWfTXG0AwOQqhl7XXSPMuY+UmHKgXP00eGHkFAKdzR4p3b
lcwXUf9QOvrVx6/Csqfu3RdYHNmyTxAjNIfKS/fadoDsjUoAOncCwG59SI77ljfcNEGPWzANxrMW
9R1ztq84X6eev4SU3q8FugnhgsC6WJ52FPWRaTHvq3hvH+jBvOk2Y9BeJgG5BNUxiI+4VJqAbhKs
DFzN1aTjkmrxcy3mPByg+ciksoVNnVXgAfch1qLyk0t+hHnj1VvzEX1aATArkOTJzvUAqQPQoNEW
vy03/a5aOZqW5Vx/fgcT6TzIy2nIR77dEEmlU6JNUQ2XWvP6B92PN8RLzma0BoN+Z3JlBHMjIdPc
NWN/cZ39HHk++SmCfgj4LWbvpAzgCV1guw/avTZRQMOc4uHj7bY4q5Zj6IvzXVgwDLiqsN3DIWiH
2EM0y51gb8Xhc2Wep9nP7f1f34b/J57V1c/dU//zv/Hvb6oYKymiZvHPfx6L5/y2qZ6fm4un4r/n
j/77V99+8J8X8lulajDVl7/15kP4+3+O7z81T2/+EeQNutav2+dqvHmu27R5GQDfdP7N//SHvz2/
/JW7sXj+x+9P3zOJLi9wcOW35vc/f7T//o/fcTnO0ff/ej3Cnz++fMrwyRupfttWT/n359++q98u
0ZH5fOLzz09184/fiWH8ATkS1LohS2DhWuU46/rnnz+y/7CgEgCKLrLicwthjj8VzZ/5Y/5dxOKY
hvTa7B7+/lsNltz8M/YHMgDQ6nAQAUX4yUGe419f9M1D+/UQf8vb7Ao1Ck39j9/ng/bVwQAwimai
4Q9O6My1QZr87TuhaSqqtcT+oVo4NqHjJuKpy+nKjbMsQcEo0KIzUWyMhAHw/kvbg4xlZ9Mu+4HY
CuIDV/U2b1zT7cC1e6kOXVNhRqnUu2khQYgcBbRZYXGhOenttMYsNRXMaOmCmS7KYJB5rQeFLEeC
4qHS8UUChm0iIdZqixytUprsm10LKqZnWJX8oqMLqYJOuDJ3ZZNPX2lbWGdEldFnp5ZR5HZoOb8D
GeBLBTkBqMLXTxrNc8+uotzrqzB3J2mr3GVNLa9FiAx5lbiTY+pbNebjpktGfk817Tqlqda4YgjZ
j9pm9NxpwMPzSG5FyNyKzFbuGHfZdUt5/MRqEfmdpjXAzYm6awFQb9AWMuraxP1UT0KUN1AQD9wk
79QXAK7zS2UPV2oc9U0tQa2rLVac6yhMfoQ+nMrBeGPjVRFKKAKwpu/3LyT5qREjWqiByzmGGuH7
rJDSN0sDkum8YboP3G16FgFKE39mFW9t15mqQiLsI+vrumQNc7soJBuVp2DQlW3S3Dq0a84aNCAp
Nw3T5pPR59qlMmV4BoznBMSdEmi0ie1rU4tIhDoNIjpQ5zkqUFWkOcLLmBbumhoQZzcF2H6cYcVs
l/TtgxJRBQwDHdJPJNWyS0LzzPQkxGFaD/RfcTl0TvY15GFabHLwfyPXjPruvAQe7qLpk7y5AGSY
39sISd91Q8Nuiix5qEEutg5Wltrg/Jk0BkFy0noXnHj9sov0GGzytr0yIycLQgc94E3Tfa0AYfe6
orGOiWUlphdVRX7HnLC5K+Fhe1NK6sLTUHTiToTr9x2KzEqXawk6DaukA+dVa48wqDG3sa/r3o97
VmeoBmPiRx8q9lnTRr7VgcY8i2ur3TRpG0auVQzCCax66uut1sUEuvbQATZ9jiwIVO4pg83RaUm5
MWNNA0CXJgPfABZbtRvkpCJzwysoUJwl/cCjfdkrKTysZ/VJtXb8XNYMcDBLF2qm1QE773VmzJhf
GVl9DqhO82hGZrw1EZS7gCCtRI5X8uSsQzUkIOnALwJKZ9L9qBLabhOzpNTTKuhdbAdZxnejhlZt
vwbJ4sIOR+uS1jnF3IFUvTL7Mcv9FP3H0hsFtzdTzqMj6pH7bjsx2fRbZQ4SRM8YQN/ANpKBBDRm
beMPaN9XHmoEom997rDQA2AykngdJ3FOZBPe95yBuBKxLP4MWpiTQOCjLXv8xxBepNCsQtjFgWSz
I3Uw2EkWl3cUtUKti5ac/C4pLPMWL7r6mgrg6ylqp67b2gmDQTRgjhT2VPvD5JDBgzxwuiM6l4+t
k3elHxNHfCGcTi5ttd5ChtYoKLxOI74oxtH2ga1i9wMZoNEQjf256KIWWMmQbJvEtDZTkjV3Edop
rA3DDjqLedPswo5lZ9gUUAaK6uHCQmFp6hKz6APLlnyHU6AE/BMcwG2XEvMRnXhx7lpJB8a+HmmR
3xZRfeVQGzoS3XTRjvB5qzwGl5PM2bQ4hdFgErO5BAF8Eu4UcfIUpUpdVqYefk7J2B86oyh34DIj
FWFm4XmaZEoijWmXsJ2qQhympi6UV5oh/U7LAqWasnFwTGjTPpmy/j5PRXoLijVwDgpH2s6mMYQn
KUC0xVDndwXgKZVLCrvcpJ2THLnKDNOFco/MPWpUBO8CCifxNifD93aU1oE4g/apK2O5oRyAE39w
ALCdhiS5VoyXO5a19V2oleq2HjL7jDscoOSyLG5VEwMB38btZZM50N80Bse10gx0q14nW7NMi5s2
1wZ/SKv70iyu+kxemWYbWKqCskkRd9/rIqNXJSCJ+H8wpJnoze8mcO7bPhXh0dJCG3RsGdu3okmi
G8hTgfFoERxCVRluoiwcUzfhApwW3E8aJB8MD4zY4hB2Obj9PYmibTbNyyyQMIZnVst8G9mhOqQ8
LKHzWKpPejQWrohCcJ+LRNxmToactepIQlxplPE9sPr8ivYIBJnCzjFx6N9scEeXGzC69dgdJA8v
ORXhLusIOyu0BnSPMlVwmarJ8MqmgM5qWCiys0s805iYLz18Odl3WZ9uQOlMADguKU40R7WlTywz
uS3jgWcuYjvANlVJXTUuYbXzPe0TcdapHp2oNtWbLeSYjc92DLRNDWRs74mhtb7pSCp0aD+I6vuO
J+mZZYQZChWnCu4TqjDzC5DD4kPeFzViUAL0HAPVYTwouWPGePJ5jSCmDD9PsCcvrAZ8VpdPE+QM
NCii3NRO3+1j1YIFjx6+T1OqEYRgsqLECxLqzqEacihrmBQIW78ZlJh2csDHmJlHoUtQGby3urDd
gYRs80AqXoRBbcSy2itddpbbVw5EpUmkKXmuKa0A4dmQ5Y9XxuafNtxrm20RumKUwopEEchLSILr
S1ZLHlnSzgf2JRJnIDudF0UQJQRhcOnrzl90KjAUVD1R9Wqh3AN2AXtrR6XA0qq2ZsBtQ1KjTW/A
n8dMKZDw4G4LTLWzf07uL7kV/6Oz8MbB+ND5+F/qVsC8/k/dits2XToV+PSfToXp/MFQZ6FzcA0Z
IC42/JU/nQqL/4F/vzAVLQTg6Fwo9C+/gvI/NDT3oTYKtXlwI0z6y6+An8IR52JwLWZ44Vyn+xf8
isUeRZHe3OWJECAai0ESsRb5jK4zNWGh2dRPsmAKOZLHkxuJLiDqJo9XQtJs2ejHZycKPaXw7Gcv
hi2jC1D+aIqoT0qwnflxjCRkMyAcU/GpPI+tURqPChZHBq5vlncA0VN9KpoUOjsItn0ujRxOM1I8
uCPtBkHhTStGA2DkibWKTNuSgnpueSILhzw9iFBqKPVqYfrZd7DVdC3xKhy+NgenvW7sxs30sAxn
aQRNKRx71BEZcXvZT13skszWG7gCVQPUlxXtytKh50Y6JdJtc6DSbRNw8K0pdEgnmYVRIwleCKQ5
kyy5opGEizZ05j30pqLjBGkbs89UeBGXqbBulD0Sz+os9kwnvbkwzAo86Iz1IEeldfKst1YMoRSm
47QedbsrXFj2/AlGAbllsE9vSY+cBQeq3U07yZQbmg1+Ka666msCCY+vpYBkFy9uxnCqrrAz0WEt
KsdLc+gD1JAB4XHfgQVdxDcwyapPzGjKEDCIId5pNCYXLFXTNirxHSDvHjRAiddV3Lk4lyFS04M0
HlHrRzXY5BqHMxI0DU502VVB7UzH2LJQfwA4rarDryTRL/tJSY9r4szSibh0MsyJ5OEtWi7Pm2pI
oQUk1Hmhei3Q2YgqeoNDtlOP009x4dRfGz3/ZCZy2Jm18RTVkwaFEL5v8m4nkjrxq9SE5HsOP8OS
ZeMXIjpnXcS9sC0+FxpK5s1I+94rhe9W6df5lMD60w4ma75F4+TLBE+rErXL42xwYX8Dq1w/6fk0
wbYPg8yit9rQQlzFuRwHqOs0sXUrM5L4U8/v6NCJrZGiPobxlD+YQy88fGO8ORFYBMDtmW6LNMJd
X1hAA8d6fllrLdpTYiMoaAcN0jztt8Rq1M4Q4cGsukNpap/JqA9PYNCpM2gkNG7l6Kg2azVUcwAr
DVA50dNH1HxkDwk6j4FpF5F9LWumvnHS9neRAQEH+MckfqJZZGaeBvbcdTt0ozwnoi22PW0zyDWC
b4cOuHTcF0WVIqIIM2NA6RzgqxDeytl+svUdlQ1KWkPwNqjb5PGzRVCYH0sdlQkZ0fcSWGJ0TYEg
gYt+qtWnIoX8g2v1LD+Hs6P3Lqs165YmTmR4EY+EvastaBOhmdlxJyB9blFyet2l0NHJ4dtsi7rL
crccNHU/chgRAG3TCBMkqfRZqcEIgnCON406BFJajRQuWFJiDxwgeebCqQ49hIuGzTRmwzVEQuxH
ANchL1NpoTR3vEBSCfdt5RzDPh8RU8zsDo2G6QQhlQxOyycoRzWdj47KeJa2GLIbI0sM7uoOfBeA
HYC1FlpcbqCYZnxGf4RzaRYaUZ7toKXMh2kbjwHpbYQYbKiABRZBpMaFVMAPg0MRZnLC/EHReMbj
d2T6ioxx1d12EYVBh0OpHFyaqAq4/krvg7Fp7W9o1lWDi30kL2tFC1TUd9A2josGmiLjgGclcQps
ZAUEOOShqYvaO6wyT+Go94MEPBQ5g0NcsEQF3ZDV19C6ymJ0VYpxdhaEZK7kRQb8AtMHt8DWvWO5
lR3hyB+V1QIAD4Ja66aJCUyjKNSdGY1Ie8X6PTxzp0MPgVnANwIcsXMLJ7OZhzR7CMKxmarYLaAc
9QP9DXCvuLKawtPB7NddvdOjYgt5HixrXO+qkppeAvii4aYVrYqtoacpFGeyyYR+kuD9Lk/YjQWC
G3bCFH7SqgHJlZpU4+A2Fhr1tnnbNZDx0k0FGTtYnEDCt7U6wKeEeEWbNwBipcOzsh0cOGHbFZ4y
ECEY0yS9icGlv5hoN3wp894KkOxjiMW04qtoRHnpNCWkryAMBlpgX7fAQJK8Yp5RknIXDlPsN0BL
WMjWJrrbZ4PcT1g8z2HQZXNLA4F7t4JfvONYvk3fsHbHoeeNYAliGjUc+30PPaZtOA7mVthMukoi
lEecMdrKhJdncafzC0jS937bpOQbBBWSZN5onKME1RrveSwcX9X8fMLmhOJHW1OUTOOsQEgzPwpT
OucpTcwbvVbVfcpy7ZOy9O6y0rvmzh6Rpe1gYUN4Sei5CdJ/Ykwuk1gUd+ScIPKRMcV9oPb7CUJo
0soB7S8QqUlQWVP41YCkBXx9CocmRAzpcUQOzHcmDTyryTDqjTWmTG0rFEag7LLleM0ocvutx/qm
kV5Nx2SXmOEVz6bppu9JjJ73tAJvn1b5tGFp1D7CTYDyRFukP4AU4z/gzalha8K4kkjq6T33rSKP
skBWUuU+7ZmwPGrGEE6JTNbniCF2rPYR2YQ4IKnrYvJbKGVAAqmAomSlsSk5ag0rUw/hSJSPNWVD
020dhk3jTXAL6jMn6RVghUVCYUWjULU462im8SDVylE7G3FqTjCMGtph01MIfkmAt6HexKMWmkV5
xvRzaO9UP/KJMjT2Q5A+D5isnXhn40bFh2qGvtOYa3kXRFHV3BkDL0OEnST4fhYjjKLigpH0iptF
qLtUdPDNTNIKC5KYcIciYTXfWQcc6aXGktbyCG/7Yb6rFHGdBmcVkEuDuOmSIT9wI6okzBLb1r+H
Rlk0D5qiptjFJBtu9AKVLV4oAIc9RkNbDJ6sx7HYtDKi9i12/GhtjJCZ4yc5xUpdNzpPcYKZROs8
qzEeRcFIv0U0Ug6XiAHasZdl1m4AZ+CpMLRJx+WM4ttvGmu77GDSClgR0Vk1/OI+S4+pKFprY9Ym
uRqaJLvKKmLHM04VExiMCqqFEvEqE32WLYWKUtbXyvJHtOpCorSPbHowchRUdCTqzA0j6PrbFbji
i4tc9pmAQohMNxJ2zRn0g3GBQb1Lu45g+hkupjchoaYM82mEoncZhEWjLkZY7Z9tHexVt1NOc0mc
vC29tkaMEPpTENV1pRnqNx3koHDmUSuPt62dmFcibPkWdRYZOQvjNj4zpr44dgnwTfDxjH6j8YxF
XojLs7iwyrKDPpPqCrEVZiymoATIM/ShDyNvoJ9DIHtTtj6QbjhHVFjvFHp1t7KQ4mhKbUp9SDm0
Z2YTs1ubpsZ3mzUKlKiKVwakLMOod3WrzS5UIi0G9bRxPlvi3MDt3St6N/Ra48GeCyFxLEOGd5FN
kYvXpMVNIyxoEIbAx7t4r9KA4D7J9+0ILacb3aqFgyMXcSh3GizRu5A8hFhRFQ9WtytDzcgvBpwu
OLlqqEvOMP8Koqes63oGS71AQh4nTVZ7dmdn/a7VcO19yRMJJbsuxMr5hi6HYsNDsHC3MavqxMvi
PDRvcglhWD+1tNY4FmNqDVto4KU3WWvS9gZyLhJebaKl4R7JAzguCe748KmNQRFo3DzRBYz8OK+S
cBdW0lDBKKuq3tadnt1M5sT5tTnwwfYto5D1ORv7qPN4begoxYlCnRgBaqupPDNGprebNoVmHPi4
ekb2sp0llrvBhrHGVacfEBx6Ef60aoKe1r6GuQf5V1X6aWXMVmTb2+Gxksx+4Ch0QptHamZQk0qI
U7T3rbCFgBdTQJlto9CEDoHjnuM5jBr/WfX0f87676j6mLNY/7OzfvuUN0+/eUg+VjJ/euOp//zo
vzx1+w8gUriFdJSjIfv9y09Hkg8dBXDVDf4zA/jKT7f+mKt0ECpGAgt+9FwP/a/8H3X+MIDrQo+6
biIPBR2Av+KnL11nE860jXoA1OE4cPoRTHgb4Zl0Fpdx0ynf3Bqb8VkeqJf7yiOediTXEIr0iot4
iyzVGpxnWR2xHHjZFiwGBk3HvFV+HSSALm6cDSg5O5QG2n51F3nyQIIOvUxkC/6Z7wA7nB7yYLhQ
R+KvFtfhyb7Jgi4WwZ5//qpUpB2gXapTiUW4hib9Rh4SDz7apfBm2ulaIdYiUf9u4osSKSdqDWR2
seJtfT82l7iqvAmS2cjPeWGB7IncvtqXJ8KFywLMdwMuHjEdOaRNfz5iHc0yx9jPPOQlLtPLl+fr
9aviCvNffJ1VfllP9ObMzX8aSk4W6VcEaAbeUJJDv1bFAaG4gmCkrGWVFwU+P+f1a5RlVjnvRVOj
GWjeuuyQ7UQAOvsmvpkhl3z/8RquTGi5WesSml9KYrMSvrPjbzZdCWEt62O4jUpwnAYzeULT+LsV
62B2hRI2rk+v9c3kJ9cQr9zU3vAp3MPl3qvzR7rpC7R+4OpDlYpOXKhpV/nKks7Z/lfP7eVbwEJD
a5Xl6CA6LZ5biP9t27DJ4C2RfT5fmwk5IiDz11bz3TCLQhxlTAlpmjbzCyoee4WrCcfgSiXdsp1q
MQhEPt6+0/Go96w168zPP+f7CepO6tnMbmAoQx4xyIPsVkAb0hWhJ9aaxj5eRevlm706TcK6yJFS
wvSEzDSPI4t439p02iMJuYaoWhtq8cDKPo1DR9DaL0toJyPoBRmnkBT+x7ufLs7Hl7W0HPQqmChO
R3ft/DVezWjswdivpq7w6Ta6G84jD2JRu2LfXsrA3iPIeTEEqJeYgmbbHgsv3ard2nUxV0gtdyZC
DrauG7gvcVm9/QZ1PiQsGmWJd13s6heKnLlZ72mf8xkfDLMsotL7UijpGBBSzC+71HSt4SEf4bpZ
K4Wl873/biBoBqKKB/BwB7Wlb+eTiDaLYwep7joQN/OKquvch1rzp7n0EuHg3oebEqD6wdf8cjOL
jaUXFeoD1UoHz7Io7uXRorfReTl30JG6+CKhZlsFMtwFFhayVrVrP8WIAAkXrfXABgVT0MMggOdU
uNpd5UWHtZP15Hv66gssu2FJaLZ6bGMljGOGalS5013xBRpXh7kwctxQv0Kjm/03DjpUYqGMZ271
RQv32+WPRkt0A7rOICcOMY970BM8EErclddmcUH9uba/Rlm8NobWhMq2ZeWHFzbqusVlH8gzfcM8
GSBHjXZ4xC494dnH5Kq+guTtymu7vPhfxp+NTs45SrLxAr+dpdFkBI0XVunPog795ayckHjhbehi
X0FEIvTWIHLLPrefI6KzGXYtzFe27I4UbDCgIp9kGLEPIGlabBBmv4OsfOYjo69t2I74pvKHNTG/
xf2McRk0nLg2V1faMJsXBpyBkGY8tGnmJ/mZoMca8rEfP8v37+vbARZLOYCGp1Awk6ECJvLa4c7s
b7X208djvD983oyxzGKNiB4PLMrxykNC0sp1hCaPg3Ym2P7jcU48pTcD8cVq9aGjlxyBJT89bw8p
sjCoTYYfe8GucJZD4eRq3EeHNcj/yuz4/PNXd4g5CIMlOlZwLkaBpo2flWi1iFEdjaDbygTnQ+vt
Mf5mgkvLEILJ0/8n7bx641bSMP2LCmAOt2yyo7JsBd8Qlmwzk8Ucfv0+9AALqyVIOLsYzODMDKBq
klX1pTeEDPX/tw1TiVaCR+8x9QH2zL/sXb6nxV77q9S7hrkmLrBfsi2+2C/nCWNhaV1nirjzHf02
7k6hdhFOv754yndrmExwwYcCrVyVds9j4tiU06jKBHW7wIlXJXuowX68xf6nQB8QPNhd4bfLl/XL
u7P2dtnzGCmsFH/lyKVTaiteOd1Z1dPnD/bVAmez425pjRqjYWBgswXLM9mYxfTF/f9uM67PgIgv
vLcVln1OjQUumdHF66CFzVEwu0zqJsOvSgyOgQH956fRGU0D/V4r/Xd2fXY6M2uQaoWjeQE0xDL2
lUxoKPzf1sPN/3b2v4iQd/udh4Dfu16DEHHREHh7trDZxo59DPkkSt14qhU9o8ezkXN/sSydj1cg
shlj/DIgmP75wh98KtDDBFLoPsgvnx+0AgxfVzJg86OJXl6/dA3tqvyr++rDVdYGBZxcBQW2szhK
dzXFhpw5WuMDZl258Kd2N6AgPATLT4oVv/0qKwL48PYKMbDAWTsj/3OeU9FKfvtKYWwJu6ig/WAx
L0BG1j3/qZThby7p+Smhu3/VRqACvSxmsjPqXS6DmZm86OLkerb6GvNprN/TBPWqpJ3cZ/3vPL+a
anujYi7gUbGIQM6LSV0XmbtMtJqOXqP6p47b/FUppwuT/usGSKuxjbOEL2iXNQ6F+Z2VJUOgx0MB
LD5zPCfPDkWi4q0amQ+jHmbRb/DYlWRGakRCNTb9gBO6p8umVPLNmJem9ljLdHwy4wwQdiaqUx07
5g+RhD/wm6kvMXi37uy5UQ8NNvYYzptR0Mmk3xqRPrOFmzFKN6C4TL+YmypQnAy4BZIfNTNApYVM
pKW962lmXWA0POT6j6xeJ1alrmy0HsyqrFUa3EXa74ppjPdtli+OF9pFHxjDLDe9FvUbBVGZAPCc
4VmxAbBBMR6jVCyXeacgasZILTmk09BcylbtcYupKUmkYe2tJLH2Zq4xYGPXD7OvNkP/bchzCHe6
GV8xsXDuRJsUJ5y6e6/SGHIxGZxvQdopN27UKfuiF9F90jrlIZVVeJB6X21bG3cko2zyG1dgPe8B
2xgutESQRU3QSSe9ai6aIbQyz27c7jYF/sXko66CsNdnALKh9hD1uoWmRlHR7RrUZzNRxYWZ6sDX
ZorsHX1jlAtTkBNKPjUcJVW6h2xsZ2YTZmRezFjk/GDvqD/Scr22CgVbsAGyrlYs/A0tdlFaF259
nGKV6XuxqPdWIvsfsZvml7zW7tKumCaleQnYfSkyP7MSzJ4LxbkfnK71w0yDaTlTgdWbOindn0Zn
N8c5GnmOkyXr8JeZTdO1m+jRd67j5kFnO3pNmCWM28pO95pRxhif7mPAo4OIpi3NDvsSxg1qdErS
u5s05gWI0i23kvHLLm0j50ZyEV91Y24cMobhnraU2k4f1BfHnoubEgkMtPkM+wpxGYRFOWOR9OvC
tAJLhGBXk2y+FgsQBuC+qbOOnp/p3tf7RtdMMk4z2s6W5E8UmY1FiAazyElPauHM+36UzhWBTPVV
J/4eLvHI0COejI1dA6grazoSrplGTMbTjmZMWaiXSq6Hu3kqtSeIPH2gZUoYmHJ5UQslPCxhah0x
DeR+4vcJD1RCFOhdX1+YeVxAaioTLPDyunqauCNGKEbh7O7aMQ+jgytU5WDr0moBqixtzBw1S8Jd
jM6V79h99U3vhXhdCYp7FTmfjcrAOhhRFgSVGnHfirAxTmFppruusPP9kpniNHURbTFplyqySaLl
JlDt5RJchfN9MrXhBjbWdNO3LWiHLB0yryx6fHac2lQ8vQHqvqnNWsPmnI6THjZFkEdtuqv6cNg5
Zdwx8yzcWys2wTRD9gIpWXQ5x3oyRIH8bRvuNFfmv3op8YBMS20ZV3EDF5J5Z0nmzJ24AW8aMzjR
/4ROofqZqReA+x03CLOVPK0AufQmZkodoGkZ6jubX7mxIEfgspjGx0z2rp+n9lU/avdz15ZI+6pB
2DVH5HP2c91Dh3YmFFqqTW8P+mYp1eai09JrtXNfpkZ7yBwaaYDuKcE1r27dS6DpR63g6pPhjyXM
+6Oc+mwFyGCDnpm4LksYK6Xs/EQHeR2hoCqAL/S1Bg80TE7gVu5qk77HyHQprj2sEF9RQr2izcsZ
my+VIgpo+vmqGu2bUX1qFBBxdRugLrtr3N5vFuWPBR7aw5romKnsxpwHNNXtaMQbrVvz1eSHjtnl
AVWacCPDp1DPmfvGr5Y5/SxizDVMkLXCgbSwuIEqqiuQx5etGG0v16ASiNBPXLoKubidZesNxrzt
wvY0RvlhapajE+XHWrWAJWnXuT0cq8ShoyQCtcjkXZe3zV0+2uqp7g0shhcAXJjI10crlP2x19xk
Vw0DMLieGwXJ9O6iLBJHDYS0ezDhqXuQyryN0rrfuyVcjikvqA0hXACfofc96OJZyyCFDAK0jm3l
0W3YM7UCcVLpvpwaCIswS8gwkn5P5BSXSlhFfmvViIc2/G9L6qwdC8vZWbJvdsLiuC+GGAGXGf2u
UmpIjWrb9AeRDovnyspnwLpsQ4D7F27P/Ltw0sTH8bPYpkZtHkZnRrmqzA42zihbEYufVVnfhI4M
4I1RRSwCeJKDIE4fweY26cMyxWEYWAHDWrq0B4NevACQNfdM6Yqr2rXRcMr0fHU+ydpvImmKi8yw
Cqw/hbvvK5Qd0sbe2S2cCCw0mYYWJhPrTG1mn9lwya8K22djVJMA5752O0IOuABS1RxDO1XuxqaV
e26Vn5aTYmCVKPF+noTYxrAHTKO76IWB6zCg8AaI9Kx8L0LHQNfb5oJyenVbLb3YjVJGPrND9KXC
btoOQAO+VZ3bHbqKwbk3u823KG86r86iB7UJ8eu2i243tT2Qv05vpWcto/ZSF/pvdoK1VbRmuEyk
AOZtGUkT6Ha2HIi/xBbHadbGgOH4ZS2tx17M0zczneCX6AnqE6FufBP5qG6zMTSvpN0+tQ10rSUC
eQI8C3BS6oSmB4IB/IUcFHNXj134MsZ2sm/5UYc0EtARElX7FmstFgTK0r3mGp3LUMuQ2hFqww2J
Tcy0aO3dnAlj46qFu7ENEqnIcbcqHVXSC7dlFlNwfREfwH2H9nBZL3mo+7xLZ1MPWX0D/qn5na9j
V5SOix0Ky6PXVKYNGN7o92IxScDl0noqtA6v6nXj0shBuvUKiZkbrXK0WVRbgJgyoCNsqMa+mcdE
faVfaGzh6uQXJJ7x/bxMxVaJMX7FjzYELlNq/belqVEM6DML3pHdD6CAcpUMsC20qfWscVKvbOjP
e1xg5T4mkB86Jbf+jKOrd17fd+FTZxl9iSOuDpGomOwQi+C52pZmnT0nrjvkND7ZL2qbLq9Gk7Y3
a80HEKfWry3K993UCUgA/BvJyk4BXuM5NfybTaMtw26Mk4vUsZ+drjmEYbSfUnWjKPELkKaSwToq
QdJafs/9MniJO0m4sKAnAIFMBAGoDs7OCQG5guNMr7KuUHehYpUwGkwAUYm8Ht34Z5JpEPUK7S4z
IwBQo0x8Zazr/RLOxgk5POW2FmUUhHM8PzmTvQqojanfgIQ4pZXl+OBxCLlREx7CDgo4oIXuGNMR
PA6zK1CQaa0dH7bZq2GbB9ViunvRhyU5MMlvL/0p5PYc5E/8duuD3SUAU5N03jelkx6h03V7C5Uw
30DHE+gDepTWYICkK2N1BxWj8lWAc7uQkdxGI792fBTU4+uw0wCNNbP1NGqu2Lmlu2bI+2lAKgL8
dHpCbB2mQjS1y1Fr6SioYKIDFSzIAz035dDVag2Xq1xo/5c70CXxKa4aUkqlqA8JLt27pQFOB4NH
0VEZzXTefUZqWSJJPxhmhFzaSAM6zscnpEZAqw4zNQWpYBFdAyCyCX6ZhhkposmPZui0W7c17N+N
OfQXKbXmQ8IUcIdViBt0i6b/yqwxu09d+JTSdLkCN+qjGdUICaB0lOzC2pqPhlPxX+dqfh6BzQ2e
qOBNTaVtNxvgCuQMCG7XQD9SkYDykeACoxSl4bAiyTTKKt6C1iSypnLcRg37C+6FSe6woP3ipeok
vueZy0vE8RHiYJc8uVYJDNF2ofBUqtOe8HR1fpl6pxm7runh25mFkj6mSH3edPHiWNtOS0iX8plD
m8s2+WNrRdd7SLWWMrBqvUJ3JQYmA0F35aBkypQD2RrNa+m4VYGW2KK4nrsqPKltXt5EcVvt4PwZ
4LI099UuWt0KEg3VijaShIY2X35YRruo3tLL6mUB3RSAT4c/M2G999Iw4LkW5QwSpFqm9EDvmurS
gfzHWY5aSqB5IPLoRhogbYwe5zxBPELBb2Oni7UZw0FcDbVCnTYYcm8XXOaZrMpTmXeFN87SfBFx
aG/rzlIesnGMfVTjxdaVC5KAFfawsa6Mx7HqjFNOnrKZezX6DiRFXmsDkk9UL7EPoCvewFcD6apC
G1S6hUavhtGcvbS6V8x29WNyqp+pObl+I3rjto5EuelkqATAvpzvVZsAm+6mKTCzGiSAkcZB1gzi
2pRmfbF0WGHD9TIv6dtIj6xhCnCz4jP1kziMUISuEaZx7hdDTQ9iQB8vuwU440N/vqX8qQI7BtMf
z059QxYaBogt2YGwRA+GM7VfZGgotyDejCBRIvcwFaURzApSo0UDaCqatVvgaNNlmsJwqyphkAs0
oK4NI8Vs05GhL/VZ35lqCkxPGcJfoTXSvK3E9K0FP/RAnVyeRpPMuh9t51c/uTUXlz6YDVBV4VwB
UnYOgA3lMels/STMUD6Fk21dh2A8L5o8BEafGstFXtW5X1SK+8vNqZdnpQNGmURyhbbZyr2T1dF3
AYPVh+2gVxvpTOIYA/iLPLL1xu+0xblb8ErbGzYoZg9ZsxQMWafcJfYCJcqQ/T4rrCzI27g6tYra
bItlMI+AjgjdSzLe9YoAKNLZSVDHqnaFw9AE7FlRxp2FBbvmVdyqfiTD2A1wZ7D/SEW6u9CazCug
+sOmzof+OYz7ZTsQe44JbNRkQ7ZpGV7dlBfAaNIHKlZ+KKjOuDAiuiHcmxmTtN2gKflJt6TzrCRa
fW/qE1W1EhPWdd2utgmELuJgXpbFJpxSecU/uq0/Kto9AVkG0worJbJYz0kEiH6rlrobevCAsz14
0o7ITNlI/jAmBV1ApzkVQ9/bG6OMWtSsV+wqlzym18kwjS9FWWXgFBuicK5H0UOaxlTPuQnyNVab
6d52ZXEiKYl/znMkcEAGJFuvcFkD+uiVyYl6jHO1+Z6tsNq6TMzToGA7X4wVXSXAZjLtOs03O2U6
5bkV7irVvLBWlG6UFct3+y90NzEd8avXE/0UpXb+oM8iBYwnEH1ow/7akoBQ46x6QOww3o36xDU+
1+itOPEBqktDlG2nA6zPO0iNdEviqrywVnixHbbgQjX1tOjSsD0xzt1pTGfrYqrVh6ltX63FGS7U
cLwr3TzfUxent6GDE702wb9LmecFRuHUHsQ6wPezmgoM2TNlO8Kem2DYrEDoulyKWynNK7dJjZ9J
qJHor6hpXFnFlndFtdTwv6+Q6tkZ8rvIxt49/Iu47sp4wGOkfioK1d1rf5HZSqziKGapEdUwJqu3
6QwPXjcW7ds4j+pPVxnsl9GY1YXGDfhNfVRcDqwTpxdznbm/I0elP4RDoRsoKy48XeYOhKtZnjpa
IX8EKp1XKP4UN6mrZGSH2tK9yKjQHnM1r29KOSQUfSvqvJgL3Qd6221aMvoEok1Fgc7kw95wieew
9RvQlY4l5DZVnbn2pMKWjsyo+9HQRrxXrKjZQ2+CyqI0TgDxsYbdMRXXymiPfzo9Sf12GiXgcxJi
AoNw2gAQ+/yrhQrvK7KvaUdKhWjtTDPZVBma2tWS5QkGNFl1pATT7nMxmZvETcvrUNQt+EA1PFWo
31IHy1QcQNaq4KVpy0mnncjQ/sL8bTG1t3SwBkjZABl/skfab9bKDcD+qJRwBxzziNzatFUEIiDA
KePrfnSbG73WdRpMdrPNXM26hUgePzRWqmyhyVOQQRzYV8xJLlBvcl6nyVSvpFV3JP1mfmnBxrmC
WdU+jbNFhynD8jiCUDXatDta91YXZXUv5tI5DlpcfJPKuLyUfykR2D7Ydwsz0ftKrCK2KV2hXdhH
ibEZyzG9bJGM8JuxwnTKLZ3flrSGnyK3QL9BIQimJSe/08LkWxba4qTb0jpw5ZJm9A1EhTExfuBu
B3Nj5XAAcm6P82yo12Njm75Ba3ELfQKjsMrhxYYzIohzTbQQNmqIJEL0ZMic0aHZmamCCKPzlybS
zK2zm9UZ/lGvhQzfXHqRG8UA0C/nJDkaaVgHeuLap0YU/dOwkk0WE5pxPVjmz7oqV/xYEW7yZsyY
6Nn5QcegZ180Ui29MNVbzkwkxydd77WgFW3nx/1g/nALF/7Bym2JI2MKwO3GBx1t3guytuZWgQKx
pdOZX7WMkr8LPcNqZSjSb/VKkWlWskzhJLUH87S/Mqawf+i7Sf+To+FwmhPnKkkTBIfA+Xn5Yg+2
VxtpHQzWiGvrUpY3rUHRKVd2TjfSUIz7xNkAtIX4PkOwcdSfaA1ca1NTn9Rc7Q5mN5C+piRgNJcV
w+wCy4HL7taOflCrWb8yEeX4QRlvb4hZyiFOtfbQILBw6Ks0fdF017isEiOCEYjpjqnW5m9Fr/O9
tdKLaCOanm4m+rZ3ZtzWK1E+qs0YHwdXujdiETPnXJk2CPNFGzWycG7qHOsQrrSlPI10r1WtFiD2
YqIwFV+4s2hPOU5Cd+pfytOiKEHWj+YxH40lwOCYpjzGCt/J9cdXq0uzgL/RoaGwjH+M2Io2q1n0
XaKPBy2vAAtYYro2B63eEdstGFy91nuQDyle63K4AcoFSjFT5U4s5WhvHDppKKNaPdwlK9laTmf+
ACWc+exLauDQvRVGy8wQevdt10fRTdIvztGI0hc70+stznprN3SBLjhI6eFK2h5tN/qd4Lns65Mg
4TFdd7NE42s2dsMv8PWwCZeZarspSXwnmDlRVX7DbL26seqmeo2V1rldJzuInaxEM9smi6HXa59m
l53bO+2jijHWxpg6JchDLb7TV35a0jgXUZxSsfZ8Vzr1rdZVWI//oHHoGc4MTz1Nk/sodPG5NmBH
MvTbJmE8nxjuCQ5SrF82EcVIqVw3o3Yn5uqUah28fqkHSkiRU2h9eVBlRafGhulAJbcYeXwUheVC
b85LD4L+c5oRWDOj4v3pyV2ulJUfK81y2c7dq4jcy1RnMKUvy15KsdfnJgqQ4bib8eFC48NaoBMt
F7Vw9n1o3Iuk39EtiDeGU1I0LMnktVFySkdkOuR0Xa+yBwVJhDTmo7ncOqHctqpj7+mLvmrzsPgq
mWxaLY/M+eRuHqttZWGJUU+4YC9LjduBylgFVZnkDyLYxzhBViPOrmo4jXnftD50nG27mAermd0A
6canIjEs/kG1PNMKnwRqSS+JIZmyxfhrZJG5+NW43CFVAm6uMBpIBLAqXbOmqWeBa8/LWG41sVw4
Q3PtCsvxrJWSSTo1efgXPsJFDhJn3BoiF7R5zUs7ip8r2m3xSvCEW06eYHevlRKjP2ab08EWS+zb
iO55BgRmT1n5oYorem8V92i6Zgegyov7FgEEhQFWuu8TlyLTqcWG/q3lCcWe/brT4fQM3Z2RZ85N
mLazNyRJdaI53+1qu8q/a2KaoPSqw4b29ujPUBY3ZQg/eTJBfXHy0ZUBp3mrTi481LnlZ+a0ica+
3I6Nel/asC4a2jmBW5mZh4pSEqB6BrIAtl/QR8uNzBQfqkPJdKOCnWbELVTAyt50uuj8osChwp1R
8nCdTt9CzxJPwM7CbZoiaFPKflUXd2hM/mXiWoMZqEwjKP6h6Jo01bf5SkIyVu5uu8Tlg1qZz0ay
kGdGob3Jw1Wgtq+h73Z1mZ5CJap8vZx+WzU9IjHBp2vTQdtAw1EDrUd+uM41A3IQx3vp7X5bDUbr
Fd1sHMPaTI6DM+YHU+Q0qdLU3k4Nghh104sf7ZzBNHHt+iJR7QrqUdhuGXSIQNjt77gtzSDjbuPH
MtOIBkk3UxvzI2HL+q8j9rfg2fPxd2W0ZGY5UM9MuySr2TCL9T+fc38AtdA1A2ATw2cDO/gz8IrK
SMLKDSbQZtq1twg+CJ99a+3lIJMv0A8fLsUiIB1ta5VAfTt4dvo0n+JkqvwivKrG21yn3/PFePuD
ebq58gc0Yx2ow5l/uwTc/7CBsil9s7Jzz646yI7Vn8/fmPrBc7xZZP0R/+B9GneuS3yVpM/0R/PG
QPdNINpu8Gq99ofRB1v/pSPRB6gO00YS1EDgj/B5jhOYZzp36CVJoBZ0550Lq3khifTH6ffnz7ZC
h9/Ai2joI9BmG9AvFBtB1bePJlEIWiYdBL9iVpRqaAhFd1F5nI2KqnLwFcSVPl9wpZ58uuLZ/lPo
JDh1A4hklS4kCng1Gp1moGx17Oe/9GhdUcPvng9hCdU0ERxW9TN8WL1IygWb3d759cMcmBeqF/vh
L+NaP+ZXim/s3QN8zuCrdbWP1gXeYYMkWbG+56ptqK0wH4f07Q+v0U/9dQK0TfJzMDb5toDdBLrf
DpaTHTjX0c2CclwchFdE5XvtEfpq8Pkr/2gvIa6hgSo0+TXK2TsgDGh6RFzwLUt60Oy8sn4paELm
4xc6pR+dk38XOjuMVonqm2Ow0JxBfYQIQlHoI6r/BVLng+exub24UHgc2/qLA/7nOOKJYURjPYGW
mWiVIBeVPCbZVplfPn9tHzwNRwL+AIYzq9LoGSA96VCvhipR+4mFDJEG4CiNzF9zI754nA+2CrsE
dRq8x+g5n+sMZ3IYy3zF2CeA0BqKZcN9aqxjVcZ7YZW7//5QKs/i2jabkid7e94Tocmoyzl9Vnoc
ifwEHG+hhf75KtoHKC5cchhPrHg+6Mdn746m9xw5Mga0F0Ab2PYWqk/etG1/Qh0IkMa70XfZDaR9
EH3wRK6nQPGz7bQrboZg9ptNsrW/ff6LPtozKjIzEFNcml/n96lmNujKmVHh24h8oKfB7wG6Sa9u
HrUvHv6jfaOpWLshTbNGpjPMnzRDy56ECb5j1C/wTz+09Rgomfb4+RO9h0Rznv9d5+xYj6Yc1Eoo
lB+9V/xM9uZjtnMv++chgL0JocC8sb7wW/v4yRDb4S6lxnTPVmTyG6F9NTEQWpKtzJ+rUiLg9sUi
H0R03MIVDLkgZ7xHess+VKtWKaWfqsoREvdqQhZ98Yn+7r+zsMAi+LC4HAUIkmc3lXAbOvF9Xvtg
TsMbcCTmc+Rm7t4q+uaUTciEYTBBd3ie7YOdTsXGYUBJ6k/61+KjfuHEVKzNxNxCcRLjkGpVhBJD
LdRnZGuTdItEHL6041zvMzWNr0EEDRCzgWRNETBNSOSN8qLrk/40lWp7FNLMgq6140CKEkuaZsrw
njeHdKf1boe7KZc1Q1V7P2oN9mhtYWw5xVgUMoY1oN7b6u8+H3T+eGzvBFJ3WzCgzl0rqnAPdxkq
sWrOiOmU9r5ttPhW66YZoQENS9u0CVEhEfOtEvcoFAJ3O9ZJ1ByiMOpPccgQDt3D5t4QtbpZxixk
ApKqf0ScMANogV5UsUB7L044WQiPVXeJI8J7WTjNS5HgLCF6rstsFPIUVpUdYEZIm0MdowO34fCE
eKQMPj8V73cPLQIsFZEVw09DU86yi6IyZilXNKydmJtaY0hB2+rzJT5IB/HzVFGYQkwMkOp5PDW6
jOEKY1l/2jL92iLMGwynZt9ui4PYMQUJ5Hf31xdrvs/TXDYsFSHQW2i05+hUcG59FEeEVvRjLiaQ
R569zZDfRgjqmN91u/hqpV806F1/Sb346C7njeKPR45NUnp2nzUqM8S/qN8Owx9APEzjVN99zI7V
JtsARvxZ+2sOPHZBs+m+f0Wq+ejO+Xf1szvHGKbZjCNF+pl4HDtQqPP3YvzC8eKcOUwohNNMmNKx
sMZl6JwsKMoEu5oyrv1hm111F7o/7jA0eM42iMAG7p9oY+0T3/XnL4LxBzuJdU0grDDRyM2MM6Hr
HlMeo16albEUIZ5yiI4oYm6HI4NWHOFgLDsqev2brz7p+83EsqucGmoC2pp2vE0CalsoicH8z2f6
dijj6UVPtK0p4+dUW6jmEekBQCLuPt/C73li60sm+NoQGkjc9LNVwYYkqeLACx034JtE0P7pcfE2
ftp4LW3qTbTvL8Nnd5Mc7COZAFI8ZrBkB8S5/Mj/0lJ5veDPA8C/P+bsnhgRhKjdUl1LOvN1+fu9
Y3+KPDpzF2WwQpG/uJg+OkXuym+AFLvyY8/2Md4m1CfIO/Kpu0P9l/XHYOLLuvHcEeHvVnbRvIQF
5/Kvc5s/26FFgRip9Adm/ZBFrU11CWJpq90UO/AXG/sYoLuxbQ+o7zymm6/YaB9trX+XP7ss0hTx
trbWoW6icqFGJ0VMXmQ+6uFj3P6JzB+f76n3t72DbKDj/EXT69gavt3IqpWPaNswDTbN10x9iMbt
/9/fX9f/p9LQi3rCoNMFcoXGj1gSz9aS/77ECs13aZKQlzvnTKkJsTRHFgljbqbjRdUGQ/cVf3hN
ts/2OqZSHHNYDRy/c8rr5M6aA8qh8muNOoYpitD3etIw7L+a9S+2+XqI361Fd4lLjXDxjshTaNbU
JHEhffgd8SZyq+3C83nW1H1Ra350Z/Pnac+vHRJcLc9YDX0M+tkmA+ZAlaszgNdPPh7AJ8uPr7Kb
elsdBkgV1bAprvv9f94WLI1BGNECs4LzcFFEETMuutbwvwqvGB8j2Dafr/DRa6RrBm1Dd6gK7bPA
EI8CNIAzSh8lbkbEx3iharHv/x8WwUVHJ7hj5HDuLyndekqGgdA6JHgqfG/ABfTWF5/p/YOwDyi5
dKKNi5DX+v//c4KyOcnzLOrgbVoz9vSd9cuK7cBGcN7//GE+iKWshKcelytjYRKVtysNahkmuLYV
xHCNvlJ0tRaeyx6W6F7cyrvUy7Zf3ekflGBv11xvw3+ebpxTlYNE3tD5QDnh++4BbGybwPH0jbIF
anT8j/YbXO+s6GJUqBFHGQKdrZjqo1OrBYX1YioPpQDeUNv/uaW6LgHP1tBQVUVP6e1DMYub57aA
n+4u5oMxmN9amX2R+Hy4K/5Z4iwY9iR1TWEAqsKG92RM6WOf6ycLzNXne+KjZezVrEExya5I2N8+
SRw7OPPM3K0aRBs1BtJR/ga7/d9XwQ2CrJxlcLU9vw2WcDRBdVJLFu593B/CHvzN8EWU+OBJ3qxx
9tnrVqDcpKFmYQzpoZ3DDHA8XAHVbJ4/f2UfbWn772cnFnGJnw8gLLdjaJNRQIliDgqd67ND4aka
9iB1NkmVe20eenpkQ8dkbtOauxyhsrL5YWfR4fOf8j64o977t5DD5kB5139bgNuXRBpat9b4Dc7/
Ux5+JRKyvra30ertEmev1TURoMzaSfpdvTC+pKCHOgI8a4ivHCs8IHV1rUzFz8+f671OwapA/c+D
nUUuRqr9pAKn9U1v8Be/9VbpifTeLrxkZ9zDh9sonvKiCq8OspfP134vf7GuvV7EnG9ukfNmo21W
0zwM9KXHTfXQHdQ9ZtpHCbk99cvreNt5EN8QC6Sa7Db5rXMSX+oVfPhZ//kFZznVYNnxJHMmG7P8
Y/ffDf3754+4vr133/Sfv78epX/u5IJBX9FltvShK+7r+VLrr2SYXQDrREbS8M3Q3Lgyevx80Q83
0j+LnpcTY9Q6vc5rNaNkBj0Xpl4h06PbIGJaKNPe0qsH8r8vbur3UjsWDUYktOhsanjvuGfv0mlo
tDSRXcJe9Po/+S93u6C/gb3yRr/sfbFLduYu9KbdsJk21bf/9Qe+2lLro7153/yG1YwPG3idrOg8
D4O0ZxsW/FI/MyTUTHf6Gbn1ZkYPcQs/7L/eg+tiGOEwsUAeG3Pntx8XAelGx1+08Osw2+tNeJtn
9ndoaf8zhEJz/WMrofe34Nk6Z5sIVJUSAoBlrHg9+N3B3eKvdWehKaA86XRZutoTvz7fQesvf/ca
/3mysx1k20i0UgLQ9szj6yrMg8j5ymz+XRD5+1CrJTXHn/Th7N6RmtuqEVhKmp5QMGRBO855tcIv
bVLf1RvrOqAvaeJqf3Xd3n6kcTZ6Q10wKnVQHMWkw+to4LoSktlwJaLsi1T5feJ3ttzZJV4tokF+
DS7Uai/eIbSGOoJ5NW2mAMDivj3U11+bwL27ZM7WPHuVQCksRuskm8auObQ7EfRbsdP2X2V75+ZP
uBS8eZXWWR3wf9g7j+W6lW3L/sqL24cC3kTUrQaA7em92EFQFAXvXQL/VF9RP1YDOue9Q22ytO+5
r1dR6ikkMmESmSvXmmvMWhsFtCIy7jS3QbZQtvpuWiur5GRceeopHkd9UtZLThbxFNtVJ0HOo39o
a16Zl7Y7nUUz9Zl8TduM//tJ//OA/mHW/zVVzKNAMNTDRg9loo0WYytXXc1bWv42wsMGxDMP8elk
5vILfzfgUcag6vK0d9SwRj6dbJQUR9a4PYtsbVVrbz0NUKEsztVKWmmltsGwyB3a6cQ9f/YVUraU
l0wuGeTjSpTUNfBmQwlRRIUzqrSxdfJh/846uQQZJEdIGmMA/+snmNpx7oQ9NahgIuWP1HQ8syn8
nnh7n6xZRL0cgFW2IFJaR19B1AxVlucO9aDNcKabbrZePCHB5PgdQcyI6nOrnViZP3l6DMmJ3zbY
Bz5kapOm41KwwfIjC8ATfXWJoDly9/sbWyzyjmcJSXaH3BJYaJn38evji7tSpYuAc13wTIkn3iK2
nVx5H911y8fuWV7rr9TLHLzVDlGc68W+erb4Lf7+Mo7BDcvX/8tlHH0dFSaUQWUCXUp2wSbnwc6b
gpOl6tIKc+KWP/v+fxnr6MOQnFFJZY1bXoLSEUfJ9HnYdu7gjcQR2ipbxevyRND0UQpydH/La3gX
qnXQXfUoo5Aib2gAWdGcvc43yWO5Q4V4f0op9DFhdDTaMrXejZbTSZN1OF/AJexUdyD2VUcXZrxK
r+p3GuZW5hoCe+7a+sZJsDc79bV8si3+8oSPdngSY7oDIKFhrYtv6BjUvfy6+KYdcu8VEJPi0dJD
nzbWZSfJaB+i0+XOTf7g3si+//PJvLvzpO1R9s+CNKl92Tmc5i5ox4HN7hlido3EODFvl8/+aI39
ZbijDVnP5ADvILoLEebu2429MzZLPfqUNeLHVPfRbR0tPx3U4ZQuNOKKySu3/QoOExWxIvHUfXmR
r3KKYwv3tWON5zQTrUL/lA/rp+vEXw/2GPiGnJ6uX5Mr0OREdcUYvMRoSn+/CizT8sPTROIm089o
LoavR9M2oiWLIcDrpe35FBj3orURVDT+74f59FbeDXM0O1ttbnod01W/mdSdFij7Khz+bi5weV/v
hlg+kHfTUATZT+QZuWEjQVTzPcO8OFJOnBA+/creDXI0+Wq77XNT53g50LPYGo9D861H/Zxmd/kp
gdCn8/zdUEfzTzOaqaCFYlmel5N0tx0Jzf6FIHB59B9nAJAMsmEkU49TMk0wVI2uwTWU90nuGar7
DOxvZfq9n9x0L9S3/zW472fBJ++L9DYFOx2f1qPtp68apc8WUGV2JlOiS/fmTttE22ZzKp/+2RRf
oI2GsXh0sUAdTYy6wW8jLii/Vs0+mfJ91JxJ0YnI4bOnyLlHsckPIy45liQl86gNwQDqojUMb5mB
aXlnIU/WrRMz8LOgFgHLXyMdTUFHSyCdWWPjA42Y190u3WOO405P9ZmG2uk0hfmzKf9+vKN5GOfN
mGEtggIjuFSQM5l6tlaai6CMQeOcqLh9ume/G+xYiJBZdTvSC7bsogNc32JN4xB6bpQPHBD8U6fi
z58lCx/5DfK3pPV/nRpaZKc4JkJhnLyBAxA4l03gm/5rvRs2+Af+GysUsqP/Gm2ZQ+9WKDvF/DKR
6wLDRQrSGnSDDjsnmAB/f619N8zxfDcNPGN7eyCLgVMP3opRcELQ8DHNx1KL2R1CEdhwhOhHkVVK
V4fTJjw29VrGF+miWWMJsdZX1Y5Iw1Uem610XszedLbkieDNfIMzfWJD+Wx1fH8JR29OJJhPqoDi
6OLPdpGDsyONyPtQGHsdk1Ta74tNAyBE1KeQzJ8Geu9HPn6L44QZzQxBcyF3zrtqp5zBA7hMN5FN
mKUh5ohW0nfIPSfu+NTAx+hOfTZLBCa8VyB1ylrx6+el/oRzyFW2wrbWh2OIVJyv5MSK89ne/e6G
jzcIBNy6GeSMm2U3VoXbs9KfuLXlkR1vQe9HWK7g3YdROoNSdSbN2JVJpBUsgI7J3lQW/SZK15wo
qHx6FqH2yeGYz97Wj49fVqrWgKqYOjgtz6WrgZltvdLLvcErMXdeBPdefHnq9X3+FP8a9Xi7G+QQ
bRvLqGbdt4BOcNs+8d1/ulC/u6+jM1ZptK3ej9yAVUVrWdmG9GYp0uBl4kXlSPL7RebT0+P7p3j0
ztopCQNJZMXPvFh7g3kxEGQa4L3h/lQo/vtHR0X51+kBlFFgX4q0R9fn88S0r3Spuv797Xw+A//z
7Rja0d0Y5Lnp5oKDms5oGiU8yCEypbKLZdz29yN9Fo389dxAHv96M449DNOAVYwfCI0MYjChzUzI
ZIK0OKXMP/XcjlaqyCqGxrT4cBNAYyCnaryjf38zn46gIsTAsZ7Q8fj0UAlRjxZter4U5VvLqJ+E
Ib7/foifHUMfFoe/xnCO4p14cBq8Ann7xRkqV7/f2Mirhdfex5vWn/zFIsgb3rJNdYpk/Hl0YCKC
RmtOgGoevSojbgEPNQQjNL5Vd/1mgULXT5BWfyxpmdNZkk8/4HfjHb2voDWl1OpZmKzyfIwrmjP3
CXSuQo8P4Ske6cmbWy7m3ZrLTpkEg7GEkbfxhbFeAh/dFXttL6OQPx1Ffrpfv7u3o7eoC7Obq5F7
y3YLlr7bGhtldbqx6dMJ+dcwx7hy7LQCTAqr1o8rdS/ZQCKyZnViQn76BZuIDJFLAOs5/oI7u1Lq
KmclJwBfosbCByuFNmhreb0vXoLDopM9FTt+ukC9G/RobhgiDRq15flNA5Q6gED0vic5xd0+PLE/
fn57VBsXUS6HwqPjUsqaQbctI0nFpTZc6NJzl3878QiXwsKHb3pR7Pwxxs/J+W7yzQJii3BYmRZD
EmO7pAJnr0c0eOrs9+l8cED+GiYOvxSnfp3lRSiKpO5QNsi0Cx5sVe3OhiGOmhPr4E/4/4cb+msc
56iSoswUvbIlRhLrYFOQ3aQTGmxO6pUsU39Mdeuqd2M43pvK9P6UCv1/e6l/cF5faPz/xXj28ZH6
j7cCS/Lp4iV/++c/ruKX/n//r/e2Un/+yH/aSslfMIsxF+8CSrp/uDz/aQCtm1/QcnFYpsDMMLCZ
3xlLfUGhhOyPirNGPwr5zb+MpRT5C7+NDD7zCX0zMpa/Yyx1NEV1BxcZJDEI/ghGsZc6WhkxapTt
TAB1rUmXAjbC6O3ruwdy9cc0/A30mv5Eqvfs0aR4GAvjnF8/ggSAVg0rIXUXHXjP2qttpE2yPxWm
0X50tHYcj3ScsWyrRoIepuv4r6pxsbNGLJCjmOyfX6m0p2g0fc5e1CX6hT609qqNZeq2QMztu9hK
6ztpCsx7UxUg84Iiay/6SYYbqtKznq2ltA8ue6utvndFa5zjEDPzv7CLhQucFsm+CR2b35qKu4JY
ZzXNdUGTdTUOuqsCF6l5tFOw7nu4T2Ex1feFYjjftQCxhq8qosXuqQh1WF8iAulWpFyCVoEK3MC5
gUGag+mAvNaOUYsFHy06dM00sVvPkGzcDoDGuYGjzJlpADWABGMkXtOiQNtaYoTlVom2tP3S6s1D
G6VwfwSx1Ff+JX5MHLiZ3oQT3v1ID9kjR25xpZS16mVTFkLijRRNuMowOIfazGCuJ2GS4bPa53h+
6JNzZ4xRhmVylTkAkLKVM3Sips4gAAspjRPfdUFTdJvC0NvLNitVv5IbZaOCYUDcF8hpg7oKwvN2
LofMWDVymdhu5RD5eMChZezNhih4mJGLzm4nTVQ2OyMy36R5jJ6hrAa2L6vC+CGXUz55kKGDdTs0
ieHJdRmi46pwTxR1AgKLnv1Yn7XzeQyqPXYf6UbJa0qkyo1ZKeODmloAswfRQkOgYdGdiwSqW1Nk
a11Lgr0mwupOwr/7pomtcQP1WN2MdXtbSEGw0YRyM2Wyvh4TIGArixLsmaVBGQVBo4qbDvqU4heQ
TOH81BXWVCkMyaek05JbJ1NASkKfUs4cOU429jDOTzi9jDvHMAdIzF0grZpO0w6FlOA0M1LnwIEX
Ho1Xznps+rgoFlhaqzjaOnPzhLmu8TwoZgSvQA328FS6VdsF4VM8Bt33GEUNMKBC+9rPhLVeOJf4
Y2ga59AKLdUZqLiYkELiKOwD2rL3Bs5gl1mpCIQOZorVOegBuintYITb3Ig6/F5SoCjdjm6ogGkM
98RuBnuDdadpuZXKFTUCVCiOvKVeeUVmK7sWiGu/UwWQJF8trH6nSzouvXLb2xuZdwF9q5TIbWMl
i6i1UpOXZu7GdWnzZRmtll80ADu2+P9k93E7F0guzGTD/BWRZ0sNNRGH7jAv62Fx2IHde3hw2u1Z
Ui0dkTLfREO9xE4ehRIFz4kcBLdGGY+7rGmlLY0y/YvQJuhTcCIkqMJlhv+vEoAuSYKFEJzUDfCT
XAqebAxHZxhHpabwPPTwSp7k9IAurrbx5IrlTUZ5HHjULN9QnEova63P76t0mC/m2Eg3jBSfwT23
ro1Yqs8HVU1f89nov6dBPV9FxTxcJVH63Ov6kxNlrtDJiycRXufzTqmL62SWz7W8q7d4awYTObx8
Xgu5Gh/HtI++qnZkAEFTnXo1Cc26KHJLvpw62NtujEvDIYfjDfEQqppziGk/YrlE7a5uZ7UabgZc
sVpXtUh+OE5vPvSYtUx0Bjiy6uJ1aaxyodNAaAA2B1YrTxXnkVbVb816yB/Kbiq3aq05T4Oc1fF6
aMMMnFA5g2OTClHwBYxddFnYWt2fF7kxscyUUXwH4a2/tSd1LL0pwt/60DdGuk1oUp4uhK7oFzjA
xr5mhMpX24qGWyxwZahzOT4Ns5J2L1ku11/zEdhO3VpptWMOtx5Q1myTGMOPYiiLEYxzTIteVYvd
TKMKhj7OLNTLQeMb9aVmNjN0TyFzTtUMYLBJ1YhDpBraY6qISqzqIiyua3RZoCRSGNtmZRmkNgqL
xl+htldp3Eu7JJrrH06aWGIja1BR4xZcFGYLTXqNS6pebuu80kFI5kaFq+vY3NJIixl72Eu4JGe5
DtFRlbptEvb4kQRKaF9qksqHmkWjus3mWVLw5NG1l2TqEW+kk5ac9VTQV3TG149OForH1uyaM31U
gxWw2fSQWjzBJZmV2TgWNGDaY8fOvNg0C9Plh6zNaGf1hahr6ckSsQa9fhgvh6oVKyjHee6ZtVM/
TuM0PRmFxBfe1bD327zyoN5Z+3RIwo1Z5DDeQainh5E9bsXJMb2YUqW7S5Qqf4VkXBlupAr7uz2b
AcfJwDTWSHs3YRklOx3n9E0HSXPyQ3WoroQ5F6sGtfNVZRcAQsFIO7usttjsjMjmS8Gq5Wkqwvo2
0qdnHMn77yOkj9STpqS5DUIReiV2h+Z+KGyp2iD1BeE6kLEcorg7yydJvbSqQDrUs1JHq7xqy6us
VYZ7JLLaxWwElkNOBC6c5IQvtkSdZU1/8zzBD3Hw9RqyPFkVMPHuM7C406IYJvkA9MFeKeS+zjFF
TnaFpnWmS0eoeoBxk4oV1q4snRqf+BwY+S4dUttXlDiDhFpU1dcgBkKuZIl0XePetjHlwXktcpmQ
Qcnb4nxOenB85BLxWJf79AdvlM7W1i6/mrkmXRh9SMiWmO24jmdT/dYPVSd7EYwbcGqlUL+yjQeH
tlKau66ylas61muw2JleHWKl0c46xyqgSUt0zRRwgg+NHbPLT7IDvX1Q4fQo8xZIbbwxYaJ7RZOo
IK0tcU3RNv+el11/2SdSf05/RBU+ZHoEwSntk2ZtV41MYwz9Mm4LTix0a5ya34yksB/K0MFBPmqm
BzYKGEqZPfQoPDWE+JET5nhmS1l1nxtRS+V7sgFKl3kMVFgAfr3pY2sQfoJ25lmfhuK20jB/WJl5
ABEMYrwXB1N7YY1D2UEIg1ms1GHzva1E8daZhrYPnLlYw5LAlF1I2qLRJ1ACCNgZ4jacC/GYNIl8
71CWDm8Nukcit8Fg+gIAank3O01zO1r5sOtG3Cxc0v7nMujydGVXVffUDTEAeiqAPLWgF9njgvSN
3Yjy33rU43xj59N4jsVC+NA6ubEHKSx9T/vJuSowfz+E5P98ue6f2fWlWzoc07tysvpmPVRG9q0L
VVgNgznNO/YJ50dnjb2nwtNZY0DRb5VcU1pvns2Exw/jfJyt+KoHzrUVqtzdOJMlnnSl6fdDDjjI
5cuLI7dOJt0iCx2iX5T69MyMAFys+IZsIttQn0Cb59L4opi99iaToFzZZWSxLI9Bez3jSR16bRnY
qW8J1Xii6aHdklpsLtR0VjrXApF3bYbjnHq6NkYOKzMgJTfQR83jCwu+i3Isw1WYdP2qxXv9MhWp
Iq2KrjPvdBxSbC+WLOaalhMVd7IkbVtVQMZXModsG3nLF6nvh6+pg/slrA+ph3pUdOI5l9poP8ll
06xaXagqKdSp3bdhX7I50AL8aFRK+9qBQfs+hFW7kqKybn1h9ewlvQOVbV0G0vja9L3xYqUWPcBx
jfy3AgebusM8ODF0XWQKvQFJv7CiafIFIEl0s5NFzwK9ifPXzOnnu0ZLIhcBvh/mkYV0ONPt1DUk
rS7dMdU0jFk0yDcqpLzXbh6hqzVNGrP6jDW4NE4PF1mbSndWmJTPJWIt3Kojg+swog6WMp4Irm3P
ezMsgjsbuD5GsapW1Z5ZVvGV0znLwss+54+aem2EfbXBaCTRXFAAerjOnDamxsD+f6eMwLxADooS
o5tBlrcQGGuLvWXM1lknBSAQ7UFfKZOjnlNZJCgNBku9RdkELRYsGPJXXaTPcjSbq0jrSD+VZWX6
Yhjl8zAM1RVwuXitmOOcuUU8xI9ZE3LCkTsD0xQNtwOSxAZIr6oxAEdyhr7rMVU7jzWtZucMOnmf
pn110EQmfS0nWWfOjVFARCS1QwfyjM3IrXquyOpq9RDjTeElhCObEMsCl57B8SrQ4+o8DuZ4k4Ec
Pkeo1L5iY5BsO+LfR446xWsUB9ZZ0kQ4SSRprT0pEKXvS3qH2I4sGvAc1O7+IOpGrKsZhuUqLvNg
RSwZEMoEmrNhya0f7LHv72pNafZjJDkANlP0dDDyYK7zZoUvT1l0nfTwIzWr6x6jSGqfON2UV3YN
TJUG4vpr0isGVEUluSpqhTNhytHg2p5zgw+HcO68Nuv+QqgZDT/Q4gzggZak3XOwCdaBOra7ypIJ
Y+2+u57oOMlWLc4ASmt053NQ40gSJEaH+Eyp05aQsjWNFXXp8VpX63JfKOF4NaORvRI4eMZukWj2
6E0i7a8ajBnglIXa3owxcF+XXats6mUKZ3hdXah6A+k0V/Arcok0CtRnDeYxhZ0GL6ERw5lw2vte
otDtDp1Sb4t6HIHAaWGa0pun9RcsQMLyyILYpZvJYw+rLOyUdZIX4Kgbs4XGp+vRAw3m8S2UcDSR
sjMMMPdiiXKP1ds3EM+rN9GP8SU+ntO1xRK1zwMLZLppVQ/ZtIRTuEGd9UM+ewBe7XUVNXROFpZz
VheW5ndxrr0CwOjWdVjPl12gZ5es46NnqvGwnnIeSBXGI+cUc9T81LKLbdLO1VY0ONhj+d73X1sR
6peAFchhRwSMqm5NALGVZIMiN6BhOMfkRAnm8ZZ3KvuDnRjXqt0al4stwNfSCEMmclZLZ+rQJ+eS
oww3WqKkhpfOeA/M09i6AfGwsY5ETOkuT1X1gNzPSSBOTOaG/6T7Me9Yl8foBQL0UzTfVXlWPOcw
Kb1GVyVf02FfRaGaYoSkTpzfWWFyV1ZpcSJrY/Su1hRgiEsLtxgVUDRWCBdSNgDIXKalZIbzngYb
v1R/hPLQfW8xRTrYk5n4al40yx2j72fWTzuRDfUqzgvjnvfUX0K1nzaEs5HmBrkQBwNyDHQS576z
0hFa8tRvLH1pqh3RJ7hm3xCPNE5wDWVVX8v6LL84oFWvjUoYoJZHGJKQ7GtvLk1zF0P/vUjQC+yi
ocBbT5KBWkKbbEw/LlVKJ4pc+EYa9HekZmw3gR/5rdLy6RapNOjhvARdEs5Cwl0wLW6CgKWjj6fI
8QOaVK8J7HpI05P1mGj9ioD8wphHIFZYTVSFcptIWLytWcxNt5QrFbWD1nSHylhY8OPEYqLF4w/4
ozOuL62h3hIPN+eBbYq1VgzYVyRsrwh2MutxbOc+cbM+hqY4cDQxuNa8dIpvjcZJgqh91CdemrWw
C5o0xdFEvSKxCCW+KV70mqiE3cZXhuSbYL3B+2KbT3Ow0waL3XHQ0gtOKyyvjq+r20o+D9pgH07O
xWg4+579cWUK3kGmXMmkZWT7FW7qs27G0K20cm0CN3T7sXlLJLPfxYnYJlOYbVpz8uZ+5kklZGGC
+qFSIuE2Fpmy6ibUU4L+3rAPmKUI0lpWbbyw7ZPnqHMImHUZ79JG6JGrlgEszSJt9H1FG+A51hcq
YbutnBkgZmN8hMhcurYEXMGdhC1Ur4Yg+oawXeDK1tfCxGPLJi0yVom1KkM55OQ8xFeYjMKW1kHQ
Z3tgzvWtpjbimzUt1VV2lx90wcWS3/H8wJPpOUkuq9fDel/Vubm1OGFsnAYbqKiQspD4sy72dq47
zirJoMDrdTu+dY7WEgSaibk25XQRbE+1+iC0GAteh3KqjUlVJXUeNJzwVXdy8VTxT3urCzFxoKJ4
M3Zq9Ag/fFzX9CCJfW+W02sjSsfwGruFXKO0EiAig6+j6jm7tEP/N2tJ+EGArUCubyLGptZyXGJM
0pGOshBlrniy6fVQV9V6aZTDPGiVIIKiyFicdNw8Fll9GPSoliTRgRubOvng0RO+2KF29yUPmOce
Tv/GvPl98vljTvjoFo9KMCZhZ4MZVuo6t9VuuUXN788XWsTPW2yoiZy+xaOc+oc7PMp4t6kyw8Tl
DkngFx65r1WxbG7/zTs7UsbN1qh2UsOdpQ/jqtkpfrVWDn+8PDn3FrRI5mUnqnPHuovjWzvu3ZfR
P8w5e7fLZu/hc4AXdrMtzxbah3FC03hcI/5jLDKP9IIvPRjHLV1gzVMZOu5yXHXHB80v/Oo2p90P
aSiSJybnqXLdcWvE8YjHd6c4ASFKyd0tRsxLaRU0fhb44zmH4G2wtdHUk3RdLROVygwIG+jFTGM6
zuLbU4qd4za9DxdzVAmdTDp0s5HbT3b43Fw563Qvtsu8nU0XzxD335y3fz3wY4xLXFSxjDMF3Hpk
+mq0ZT/b/Jy0f6tSeFm9Fbdd8/bWnb9U/2P50deympo4jLr/+etf2z/+TlvjUnf75S+cBKnBXfdv
zXTz1vYZP/pHA+TyP//Vf/yzknc3VVTyXr6jwoUv1jXxa/dLQU+mBPfu2/xQA7x94/RbvX3yM38W
ATXzC0Q5EyNbmVODQYfnP/7jzyKgZn+BVwvnw9EIcHGdZTUsyqaL/vkPyfmyULgcZ+l0gtyEfeu7
IqDyxcA/G24V2hBZhbnzd4qA6jKX3hWQuS7E9xQFFt4MZrvy0YpVcXhMcwMSsbwfKYV7k5ffZH7p
mQlFZB2XewJRXxQY3aMuWNvIVevHd4/skyrhsSCb54IWDvGyY3DM4zqOp3sRtHbKcZHpHrauTrOD
sSIgUs5jPzixii138+5uPwy1rN/v6v+1JWobgikeuLZJpNCuSblWHMjNPfz/BxENh7YGt3ziBtWP
o9J0Rb1W12kro3/t11HDtMFWarnBEf3k4i0/JYfFWn7RTecoKa0Tuztdqb8fUV+u6N196sWsUMdM
OO21LThMoioCTDmrzgacQVetWYm1NLTxAzXTdDVMpKLsgrPZyItYxULKNqFqBmcQ9LpNXjjYWuEy
1XwN+hmvhkkes2/jjBvuIS9s3cNjVy48iRl+gS9DN6/iduQ4M+Cggw8o3RGtO6k5VRiI5sW3xCZ9
QpE2f2g1cO6YkqQVnXxCH8t7OZ2GuHTDthl0kvWWHJ5RKJOTH8aYJ+HWCsSo3Qdykq0HGwpfbIDv
20ixjVdvZddcRKtGsA66uE043YFw12EPCj0L1mk6GYg6TXsA2cmBOcWBwInXAeJ5jBoL7SVAifVc
SyUYjQBlb+oG2JidZWoyXsgozTbGZObhWqH20rgV6LbMUzCBvdDJ6sxuocz6axU3Dil+CxsuF6uv
8XueGvU3DJ0wzcpmORvBgaOk8TLY+g9WqYuYb6yuYJFH2oU8mGhQcsusPUF2cJ2ZYYjILNSlRxyc
AyTN4zzUWzuyi3lfmBJOC6hYUKNF6aRyKiApshQwHX6/roywdtumWyf4WpibIcZIGF+Qbvbm2kQA
qlL71qmRzqQ4OVk/ksXH72Go8g3E/sKzc8xUqpwxpWLY62mCgUn62s96f0OBLdiXkyFX2OXRS6Nk
qfBmkp0vtTTCaiTrTQE2nJ9KQ6ejI86Bnk3OWdoNyX1tmAuCuRerWKtkT57U5EckCXkTAOTfo51K
KQnNnXOvTPSRktSyjHXstNmlMc3Voe3Y+JWQ4z2GIHJOsdKshe+YQfjdxKRia0+6Ka/yWmsSUkqL
3y6luPgW5OSSPRswVR5gyreyXV/Xahc9Yj8PFjKfDHBR0zQiNprSCYuEqp9WgTaHVGDb+uDYxVVn
5ZdIMrR1zD52AyESj96RdPxDNFfVS9+k6nqQ37Rc1nZ1NeH5kmPdheWYE67VIpwwlmWB0ZiHytTg
bjYVjvqYZpV2NYowPyjlMN3SptI+BFqSKL42JSqdiTNZ6ip21A3gqYPdfa3gLxRrMQU5jndWettk
Ru2rfYzDtTaa8M/s7p4PXlAxUofgrq2d+UYrDOeJavt0N+IuctlKWFBhn0XyF2+sLq+tnV4Zzhka
iItC5wvE9mS6CFRgsrgnRuVdPI35SqvzeC3F5BJrEr/nI1ku+H1moZ73Sr0P8P+qWqd/VqXY8It2
TFAtKNNrW8tB4jlJor1akJj2BUYPhwk70LsgndUNU2G4C4tEuQxbc35uOOfdNm0wuGXjcOINkr0i
meY5rD3TH+vpOWxMbTvMRbMrygkq6YDVUU9HyJpasbQBG6O9kdb4Vua6vcXSI9zmNAr7s4SWxh10
IuS2rPFyobgz13QHxjPTtFRKYj2zT1i+1IZyV1KeZfg6ol3o7Ou2t6JLuzeHV7sPpxuE6JgytEO9
Ucu+2avOZG6LLjSubKTIHtUu0a7SUMc/NxXTQQ8rm8N0Qf+uZTQzFf283eK+UGKYtmRLoCDsQXeM
3gCLYSdIYp46+Xw4hSxQHRt2BUgUwgf96HwQiLrFyooi2oiByDorC3owZfNJCsSGzMsaA61n+oxv
sqC6ppT+XOP15jZRuQsG+ymjwn9i+0M29cumu2h0l0CFYAbkFwymXzejpW9pnAy2P7rh/YScm8Fp
s9zoPjpxbfbYQqrNySbjU4Me7bkkrwM7thhUrLM7llXNnwmhu9WwYMll97TQdDm8vg8tfr1LQ14u
6N2Wi/GClLQpD73MqJ9o45lIr2ud1CnOuP+tB4qz+q9DFVnMPuxwb0sniOlxjibr5jnnCj3U6a2S
nAybjhtvELYiSnNQsyEVIxo95p3BC2QC0bBHBCNdUr7hCLiAG1ovR9/kT2uHBReU4Kr1jcldiPcK
jUb/gn8Ace+Hh/z+Oo4yCHieaKkRoVVr4ntVy+4S474sCCJ+/4A/+X5+udujCVs6AkwKfdWo8a1N
8q0c/sSV/799GEKpyIP6vwsib8rmJV6oUW8/T2i77//8KaLkZ/48DBn2l2VRApBG0yVx8LIQ/HkY
MvUvi9Jdxiseubup8t7/PAsZX2iexD/ThiBPy5dm8kNt2f88JnES4ojEb1SwI9AdwF5/5ygE2uHo
G9YgI+jkwhQayvHdsI7D5hBTwtbMGwjAJmGbl2I9et+ldT6z59mNLxOBVrhey8lLYrXWD7OKqG+L
4Y1gZG2WtuJ3JTY87POBZ+DCjdtXHdR+ESME9PRaVg5pQzazryoiAUr0zbnaKZmGA5ei43SUxdct
Eda16PWBvDSet4cJT9brPqLGj/AtXuXppL85tSEI9hwp3imoyy66Wnp0rCjGK3zMb/U2V0iEt235
kmHNhDdTY1bnQZrUuDo66QX+nMUtjQeJF0lpSBt5FcprNUDl4SnwNC12xhFGL9bgw16To2kvclF/
Jb5Jz3FrosocWiEu7bIhu3ostA5ZUI5Qqa/b+DzHwvmQ9zlWvr3aY0DUJO1j3CXmmdQF9rqQCn3A
iWMMXsNRK+/wa8adVYi+Q2vZCLFxSBTsJtznyKMqMy7VnfMjSkbhpjSg7bC45/8RCNluEMTzZYpl
z1qTUCC6Go6EEg5CxvQgzYsGIxjijd1SgMwcRBHIagA9GHa+pdxKcbZMMy1y5Xkq3XZg2w6p966x
Zco2Bca7FE4i9gsjVrZOLX0lLmrPrbyodrlWqWezhve0q1emtuuDVPo6qYRi6OKdjYP9k5cgjYGz
K6bX0TaiB5Oz0vL7HrvSeMsTM7i00kiqPFNKpVsscYyK4k41uLh3If1DVdaj3QCvRXxthAcszseb
uc/KNQZuOhccrGeNeqqRSf2mqXJtP5JYxgm90Vey3YoSdVag+wM+x49Jr/V+jtv1nkpydKfFnbnH
KHNet3IWYqUVIQTFrFz3ZDWQzxqlo/5YRM4+5CPEYK93bgKM4TAcxQ8TwlhInRrZBG89zXDBoJQG
FjKitjr30eVkEZFJ7QTnjcbq+zTWu81A8fSbEkXGWgSOeZ1JUQLOVJSZlwdZ/tpWWnE9mEgJMqfJ
1nVph2dhjV/VQAF3V1SLaDednhwcYz2ld2i9kXIVEhJ+cO7MuYDmlDE9r+uS4CH9P9Sdx3LkSpam
nwhl0GIbCB3BoMwkkxu3VHSHcmjAgaefL25NtU2P2Sx6ObW6VpbJZAi4n/PLJjzWjgp+NG49/crK
/L6caf8RFVZBGWg7QJeWPLi6m4onOr60oUs5ti5WTXaEWAd1qAbq7WDv+pfA7juCsAy94xtNk9rD
vAIL7iSFfF94YprafVnDnnl4ipRwm5fQ96an2ZpFt0Hl0b4WyO2uEtnJG2w1uupi9Hgwm1W9z/U0
/7WHwf9Wdot81AViS1YX74eNOvGb7UXZxSb+nt5g9MSyD4jLo8K03Uhtlwd6FiCSa7PS0XNPtpom
yoftbmig2d3uw4Yqp1/DqPcesfcNUsi6ULk8/zUk7z/rKWoOc5+RtYqm92Ivjty20iY+wOIsOdY+
xYJJucQ/x75WN8+dKZiylvZZzXP0NhHS2G5sqLHnvm6aXeQmf2g9RC9X+4ru3KZRz4UKmrRuB32m
laYAQaSM9W9ND/S7P4363CENvllGlz9ri1+ib0dDqm3fb8dutr9jPzNvq14XicwwW741oj4Umch/
L7XvgADTgfXsVeH81PaeePAdgbDaoHJBzALns3WCsHxt4WI2szABRT/rmr+qyXcOU5vYP1gGwye7
tSOqQG0kmQhK7hIuhhdyJ3+VYPX7sZjUmwKceu/Y3p/L2Cuine4dZOQd+TjCZp7z2bBGyDcDY+qj
wm5qq0eWhdRK+8su77P3pQkgSfv6qEEBN+i7w1NflO17ZlbKesNQ3ilvb9qw53VHlEyy45PNx5ui
CuFxKOPlEzPJwOKoTz2px4dxpAFsM3RrdELDomhkQEbZnaZmfRrjYkm92C/rtI+oSE+M09GXRqzb
yB6LXLuCjyvFMGwtEA36r5sKyW9evcX14HwfMtGQN+8uKyWIfpkGerUeGn91dnbYTXtfIfStaZ2F
OjakiEPp76zJ0MUBvrWn22G6+E1ML69fzB9lOzvHOlztPczges2GZLiB+4hNRtLqvrYn762SlpMm
JJk9V93oHvj82hQWt7nlXqlvs6/kru4ycS6pRzvWmYMaG7l3vsu9YriN89peS/R9/FmO1qa+hHHZ
QII3w7Rr7x9JEUn74NEk+cfjNj6vEa1nMsuSr77NK6K3ojq4rHTbpVk1xFdPObQ6lMiOk7p8nOaw
/MrHIUsbOhARXQn7fRWcr4RoPS6yPwVOVRF0yMzy1LAv/vQEK7oTgjT0Th2dSnSnx2Sqk6MzTCYN
iR69rEgJ0jFDWus6q/zjOE3wVLayeXCGkAYFqhsOY+9ZhzXyr4Xdq9TzJ5U2fv9TQFGmcQT0ZKM5
uxXIutPaQhWaRZabSrtxLl3ZZ2kUFwkdall+muyJzjrTVHwrFvmrRDh8i+96gWoO6lMyBN0ePKTd
23zOHwXvz59m8vOHeHLkW9Mv9Y0xQJwmz362WqTPTAcbYUE1Vl5uHzq/5AEAGT1kme9uvQjJXOzo
jmeRG06hGvGgsR32yyjpmj8BQr3yfqv469YDweIuD+u9XNwyjZXl7RcHRXTatyWwSOSPRCWb+cSk
BWMeO9SAqKFM3TaZNhNk/0gDexOBmpns2WOPvVgOHYgBqdgklw3FJdZ9/Nnmg3vMXOjSLAtBU+2k
hge3evSzLlnJI+FDC/3ON3eZi4tUzY8ylu0PhQvhSKjlvNNzEzyXDjIuVDD50wz0c13oEDx2tqN2
vL71TIuinVLFZM6dIAZyoz17el5Hba+b2qvnneyQhW16oeePeY31DSev3Pv1upylExSnSejxfeot
+8lZJMlELIW/rLUKt4II7hc5Qfij+ZLpFK5Afbo6eGg6D3FdqgevmL83wHdpUBj/SveJRhOf+PCY
I0WRzlLhwBucYC5TL1HT2+pk6Ke61uQbW2HgrJVPx15IOgdSmfNdwZMq3/Keysgdwiv9694xdLvp
BNo0XEz4GfxDcxOhyp1nl27qri42j8lCOyCM0BdUd0TbNC4dkM2qsXnIrls2ge/QEY082dta80D7
IKLA7qpdxzpN9B3vLCal32YmOGmTiCbfyWwYid7yHZJ4crO2m4gyXCwkQ6uuTdJFP01mKGo2dI/H
YRX/CvrEPzgq/lz6ZT6uQ70+r1PR7Jj+spsTDr9sBIpHFORMzyYcv4Wt1Hu7c82XPVicAH7QjEhr
1mTTtet0rlxdfQ8ogNlqwvn2LhCQTot2LE41ytW/bS+nn7wid8cFGzfIknzzlvVevzc4Rn4CgNYI
Z9u6TlVUFX8NsWLPdZzZFHW5UfmeBXTYYNTT74PriN0yx1xeZdShuOpcktXKhnpiROmHqpjDhylu
/fvwvxwa5CtoFRtaN9dCu7uOYUKjugClTfNAlCMmT2q9/Vj1J2edvH0jBn0hEr+8otgXlxCr0S1c
ffEzGRbrmQoc9ae0XPeUjcW8jYSmqSBoG7FV1eheE2qJZ+QmIkcRzvh1rmzXOzOK+MXGcaxhH4x6
vMW04abj6urfWg0YdRubKjnb758q0fl7ay6RY3atk1zNJHGEtt60Xgu3GbcrTaLfTFup4zpn3u+w
svJ9YNHCOg2VO+wLawI5yCf7kDvjsh3UMJxmFHJHkjWpcMvH7GsRlvuGM+UjEeXFarR3S+a3yRbL
65xkGBFMvkvc7sJ3aL3wHzYGDo86+A4F9E56XrKliN4DC+G3+z0Vvfdrnv0x2mDjqT8X3XGudZbZ
OSIYb51cvadiLQvqNAvrGChRvbq5a3+5bDC3bIlDCtB1cQrbnrpciBLuhPq9LeMHRp19XuYUfo7t
mjyOriuua95XR88KvQPPid7lcULRPFji2c3r8VfZ8HjTndu/ixkeoUgqenAX7hNaJBKLLJGlOpVR
QDOqydS8ccwycNxQdbpLxLg8+2rxDgPnDFoVnFONJd1Tvy7L6xKhbkNiuq5PFtrkr9rqpouXjflx
6sX8rgJqdLP8u6vajSrKXThidlD2+X7rjk3/bUnEkwDkpi4NrFeYFzFW6zZwq5dFo40Gu3eX6JWC
YyLWxEuZWX/DyHp1CSbLI3ErCyvkAUKTONVed/eOzOGehmaLM7MN/6KEGvnXveCxaodpJbXKIpHZ
lOOlot1+29yrjO5Ok1tb409wCk+8WcrpL940149qqorzXVB1GBvVP2Umjw/TLJIXNIjW3ili7xCz
WHwrQrwxA3af1szmLLFQ3fArr6cxWq551RhsPJXX3/yoC87CTma63HMwwKY5ZUtQMxQ68ku6OuCJ
dANma099l4Z91PaLFMknvNLChc21H3Jx3JiA82eF/J0P6Wp3Y3CDwoIRYkh2aV2M+uCNASa2t4Nu
X2a7SM6cNAmCUSlfqhEvxtKPLImd8PwL0e7us1OFLfktq0EY2C8Tx9WS2d9gbLxmyxNgvkcia6eN
FxX5D94C+V6Hi/3k2UXhAfplk9q1E0TRpLP1YC3QOgHkxasfmYgabhTGB/s+7Imq9zu8PtOe2O/q
uVTuFzU5E5I77atnOr3Cn7rs7mp701/sdXL2mYqa59XkfbSPA6ifjSxLZs5gSb6vLTH9M4LpkYVK
t7duzde09+z6ezJUQ5jmfmF9IfWEg3G5e/ftbJM5Ok7lU9Av6/dqhvZLw4AiMeYf/yInuMKole52
7Gd5zGjzRiY9EK87Zpbaqj5aDtGa6bRh8T9qG0MI+3qu96OwnCtlXOuzCQrrahei2I16cQ7Oki3V
Nk4awAYYGERz3DbFNepDfyemFcR08CaSvzIrPkeFgwBYxLTuooG8qtnSUFhIFk+wQstbFU0UEyuZ
h+kaesMz8n2eBbEKeTCd5tppaI3fASrMjzZEzK7pVHbMywJ1JUAA/8aMmpaThT6w0BFyN6Og9zcs
+HW7w+ZGKnK/8v2fQ4T3eHHNFhYB/V9XmuPYAi0RIul0+wS0YCPaidZxmY8QP5Vc2k0zBevfYeZR
71q3fFI4gPjNA+YA09XX3MP05Xe29ea2mT7oLOt/hVJ4l7JBe9dM9fKdGSs+TxTTXfoykqfJ1Otr
h0vitIx+f1Bli9UPJO4hHFf1a6YGHvPX4FYuGpEWYKDuI2xCCVv9UHllatc0QgM3de1xEEP8KkZ0
3F7fzK+ZU1YHFSXe61i5CT3g8UA07FBUF3Z9fWoXKznUwcBZyMqst56a8j2rAlU+2fLV2pQl9WvP
jhXolA03OI6J573pCP2mK9z8XdiNTTBLZH/NUeeeuzyqdqH0LJCKRiJZVF3wVNkB2p2hah5KRqBT
goPsS6gheW7EzIHjxw7kCOXI2D8DJr7RdwmQtOrkaxkyTV10VRfpQsc8li0YH54Td3xagckfaakG
faZSsLuutVc9ab83j2EIiXeqrHD4YZW+fdLDysPVsF2dqraIXnLhhC+yNeZVd+14JKkSdXqQdVhw
wvKajHmw5fG0NzWDW6pmZ3rHIcXFKez12qtq+GPXk/rUfrtc6tjofT43NjuaNx2jenROts26HUN4
/rGdqnzqxqb61aixOteY5/ZFJTE5VZM4RdkMVEWTxLnyPe+Enrc63r2/0F3oTTf5qO7NfGZ8KGNG
S5TBS/vXbehBh55H9OhPvjriFl2dTdW2YC4rX8iE8IFa7N1YN1fErPqTqs/qlebn7q1wg/5FlHWy
czPPOUbDkj8ExvcejBVNr1T5zh9LbxPspXx1oulaPVtx511G9AFgRjVK3WDGX+hZ1rZ17CUNRwcH
dizj01jl5UPsVOPRC2Eby6zweceoyGGYFS+4rFiw8QSmRY/Ze9OZqCWxah4GFs9iZMcKkCZYLr+I
qadDJFwY/Smxrd/B6sqrpdfW20Sr/paptj2sOGM3juicP/0opxe91uUxyBrnEBSw8aEI86vLMw0r
svS6TV0LjNLCA3Fgn/WfQDyjbbyU9YEmyG4/5tEhwIQyDt8yYSWv4dyGL2EwizdWVHu/mDr74S8R
heF6rHajm7Wvq6wtCumnGeeWqPZ6dKZbKMevHNzptY08X2wQjyraJamiXyflfHRD5HL/VUFa6WLY
Geqmd9LNw204SAGa7WPUEZNccSNiest9S6L2oHP9AiFtH5Qp8g8hUMN5HOmnhNb0TVi5ZpOYOAKr
ml+XQdrp4A2Kn2IwDJcYXi81q/GTmKV6GDMuwOqOFI615z72oXS+x14/ParZKz8Sab75eAfco+mH
+BHMMPOOcRguwYZ1mr5G2WVH+EugP4dM1GKfiBrQi5mI+Ug2k0dRkbZdfWVoNkfLZzwNLKeLjl5Z
LCUGs2b86H37ruujPnXiXDFVvm9ax3sSjbL4FhnkhwemVaZkGAhAQbtyf0QQu+Ee//pCjzPs9bzx
6+6YJwBXNl/t3VwNdfgxFhC4O6+aMQ5PiKGzba8c/gbfM3A7rXLvR+6AzkGEZBduWvMWY1iUJDSO
y5x2dqeeIwf4TIcTPwHBh3Ef4sHHLm7JiWoSXM6Zx0LQKW+L00Jv68WYXytye/LW8BPdGBmsi+93
2Zoy1oL7dQocUsdcABs9jqieSxHfOhHyz8XzgBRasYCDbqo1ProYGPj4O5Q9aYgrOXW4S5lHSxy2
3bqa9ejNK5CADIwHdjXps0SlteOZmv/i7sBUzWjBeR9nuLbrcdbnSYSs8gUudLmZfQBMa3Tih39A
TVxBtA/2Iga8dZJjgiIdmSUT0Y6NTm/9uFXvPEq8xKHR58Ey+FCrkTxhk4OkuMO89aae0Bks9k9S
ReLMuTu+9CvboBWYdGnj5hZFtYPl0irf9OjlD3L0HsvYPIcJvQ2EQGvFFgrOYddBd2w5h84+4uBr
Pnjyig1aX0JhfVZ9ws5oOSyiZD1xUsowUBvR2/JXFzXz1sHM+Bz0zkDQa/gRq6v2w29xUvC1rzP9
NxtEdrBoG92N0OBHvZT4d+IpeO9jaYhQEFG1r1r0SFGjJbs9rncTi9fRY1WXHhdmUIxwEiJej1j2
MTstUfU59VN5pdg62rrd2qbJnMhH2xL9fpEV2Wcd5ucYDcU2k4LOk5yEhk22SipBGPrOUbnkP6MO
ULpjUPuJ/dZ8VLQ7fV9NNZw0KQvvNcAXtmFy1SjKymulMc+sSQKvpdyZaQqUbcBreZN85x5qvtzP
IkyqB46f4paM3Psb3K2Z2rdDI16xXpunTvb9ocq9Bv+/XXM/DDUPjlnkny6mvBa9XVO+LCuIP4Ne
+Lg2Hl8scLSanafvAvPv2Mj/Edv6kP3uQF+/hv+uM/1HO/r7v0So/98JVEnNhSr9f3Oyb/Xvn7Cx
uv9vrOy//9Z/cmqCf/EIuCHJrkCX/Bdawf/NygY2YTSOiyITApbWpHuq1X8kqsG/kGUjLSGhxnXI
nY0RmfwXL+v9i24U+/6/iAgYhJ3/I17W/0fv/X9oK+BkaQZD8upQJE4pTPh/iTmk8aqobCTCwWDR
59qLMVIVJJywbfbD3pVyPRl/dTskcHFh8eRa8ht6lOBxnsbhRfTwYxFiwUNT5P2WR4+I1Uz9jWW1
PhLSE5+raEjkBp9yCAcTUIOC8HHaVckInpTN04etAvFYd1W7BTqrH4BxrN8Zhb8/AzJpayBe7PP2
KQ6BiFr4q2+mkh8ItcxnUPjtm4m0ePGdob7RQeX88KU7/iiWpnsqY2tbSfFnTCx9dduq+zbkKt4L
U9V/JuFOdwApdwmi1e1j0kf9dmgC7wJ+goIFimUzT/fRJRuibZRHUMoBUNhjGSXwnGNYPHmmeHXD
yoHPIhJmL8ax36hchDfRCO6bZgHRLYfuWenPyOGIZS36bNHoQmzQarxtCkJNYnCvFOvPuAmQCna2
XXHBz/LbEoMNKtKP6jSqqnMbVaewXB7rrJOkzJbLYbaD4ZCohf5zU2YA23D/2znKuStMvpJoXkQe
P3iaTrkY611ppone5zGM0iYU3KQ1ChJEhpTqicwGnMBaL3ZRqMfyd9HGXDzS1vYx0F6XnCyz5I/r
aG2IA+G0Zq8b+F4+rNyfb+TeVI/czgPoLU3Y0sH8E7S8PQSaLXrfxLHe14A7BFcWTXSoWQ08XNs+
5yK89AuhIH6wWae85/rX+k/hKP9INzYZABUjmsOoXWqneg/aHFWhWeVPMnzCBsOwZBmy+95O56IQ
x4lb6Jx4DbfAhMc29chB4Z0R2RP+yHs+P22fplXDO0JHNKv41HdT3CRotLoYD7L/nQsrOYymWHcl
OonvQaUR196xo4RO62OLNHM3q9Ddz1MS40Uvp5+Ntu1PXRNfEOZFso2oxdkgmFSHenW/eKjb7wiT
k7RYegcrW2fS1iqyT4FW4cI/E5Iu1ESfOOnLHQEaRNpCi3kg8XN4sHQ3vJZDaG3LGZykj+4xB/FU
qnTt7Us4PCmCl3T9afS0b4yDsnLM/Jm0kahIDkskKQkQyxe2WtDj6tkMzXiO8sVcZkuiQWYdOLWZ
3e+TwczHOnGKrZdxK4exXeyDKYkYxla5pza6OuJ5LE55zz46I/fb8mC2R0ffd/RWeIelNeWltKVK
0dvKS4Dx7NkNsvlTtMo/taFHL7IT1SCW/leRV/ATi9aoYNcmFfVCqovrVz86YHXYt3DIvkzTzb/H
XrQX1p7hEDR99F5N8J3zHxtqa5DRNWA1uebK1vvC9cLX1Z7s383qVG+z78jj3JPswjdgZOTmdYGw
TZtu8NNwniWLCc0Fc7Atk/ap9+Wpc8qje3+hSqBH+UGq5skO1R6EJ41J8Sinp6nE2MiBOLvyMamd
dMJYm/PultZH35MOox6D4MQMBO9CzuegiLntzy6hHYkutk45bDlrORvsrVRfsf2Uab2FpSKLQaSM
UDdvhf0KonDTtNSeGHkdw3I7K/+9TlpyThjWDL15xfwZrmVqODloxp2AKOqbWJo9yM3RcYdNnsBA
Tv7p3gO/EGgUOBhYsJn4QbbHjb9XHjvYWH2gyTiN/dLA8T80zKp2PH32eXJxZr5mjth0d8irdvfa
EQQLyGsQ/Mpr7wkSfHNnIU3Nw1s7z4oQC1x+I7lPcyfPjVen2nmbYHxxY+6qSH5WE7iL/c50zUAW
2w+rCrITQ6w8kyWgNj1Y5ilTa/3Aqc/rKuz4tERt+1BXeX7ovJBfpeqXR7+J9qFI9kvbB2cSCuI9
LlbUByFxSW3UNw+RggubAjHfYkJdfXVBwfrVWccYy/MYqq1YqvbW9lSPR0Bu267L3loHknB2YrQW
a5/gFcYdMEet/QtF1XTz2sjez1G0ayZoulTlhCsMOJTxjUZKXUpXTdumx7O9zdzsVKmXcHLvfXQy
e3X7MiHxQkcvyoQHZO+HalxXUNNhNrCzVVltemXYFaJhOig7Mg9zl8dkTU3Dt8HTYaoEAzpy9F2X
eZQk8qbPLBd8cQpw0gUjv++PNXzwIH/36I+Mq/fhsBxy4Yfsp4gCcVPqv10k6E4mUvecNR0YXS/8
H1Ws/hEPrE99iY7xfmPvOgQFH2DmYUnGEt5LETjNri07wRLpOynQu74oft+/CLD0LrOqD5js6FgM
fpzqAVYVPKi+rdbawoBignVrivNoBK+502/YnK6R+jth7Q78X0oyoyOvIEoT/2p9iLuVUaCbyVDy
ZGi/JIOfPE7B/Dn34B6bdSV3bZ5dRNJWw+GSOQ9D2w2Uc3AJbRF7EwWRkSad7fMxpOqbJTeSlxAE
cUkl5s/f9hiM6sHqYfdZW3L3KaEZ+SuRWYGGpYnIeKh4k4hgsXTyx1Sg9M9x0htnOyHJss4mWOS1
RA42FtZvT5f6V9MtO7XaDhvlPLVmY/RI/LpZtMODAMX93uSF+KVt5Oe7zhNQWXLp1AyEO4T8nHaU
62OliU3bgdRKa2vFBB+lYUNcgVoSzMqeKrInfffXTnenLW8Sptuh6OZwW/xjxm31WvxddIZFFw0s
Arfc11h3Eb5i4y0HHL2AFsi+7y7f+u739f6x/iLkZLcCHKl2wl7ESwYH/Mu/C/N9UwVZCmYRfWL2
YJeGu5zfTEX0S+bGRHvE9kqlRzF35CP0UZNcMS6gW47NfdMNXEOEDqw0cjqrx34wSqaWuEbBUufY
63nC2+EUeyzMBfPIrWDfusmFhJW7hCR+kKsfPzi+5TyqZkRZBCWkNkWR/Cm0Zu6oM3Q8sYgaOL0o
/3nvJR8o1+l5UwjlcnhgcUQgjcUkwsrbtfax7tdsAO2u+D8Yv6YvJGXqeSaI8MF3/fJQ00H6BvzL
D5+pnSIfqQIqWKvxsaY5+6Fw0f0jEZh6SB3lnAo01t8gk5lIXXuh7o5xDuyeD+xhjmfxyL/Pb8Gl
rJ59EfG7unF2KbwKhVBgrEsfqPwiG+X9kKVwf8isso+zGvnL92wt0vjsIwdf+9qbgaWtrwnazrgU
EPuJx6Jt4kMd9qu38Z2RLSJJeBv6Kj5IWYAs1DCyJ94aLNF3mVCCKknWEX95ISgp7sLsEpdVJv/9
Ccz3cJh/L/05+Sd1Z8oXmfB+EFRg3mqLv1JUfbOrQ9IefMWP6fM71oDJSjyuFSop3ADqncMquTLB
edj5+eDkHHtpXxEq94/2yF797qM2d8leLfjs7bweTv/8aXv17t8eG67RXwAmigmhYRzzAmXt8cPu
Pweaw/tBDgkf7cSvOK9Kb8jRpvsdGSKvoiOfzmGkpQs8PhTJrJ4Jg2nSmKCLPdxJw6nY2MfI5s/N
fD641PkNZ4x4qYglpEoQxEy6fBvnrC9feruiAaUDTIh6Xp0/8Lp5Zv6TiWeINkqnIChutl+yu6Nh
28WSO7u4O8kB1JNbZAa+hroFbIEoavlNotzO8CrwuQMvkRsYF8hBd3HAu2LXCibGJnmQl7eARB9q
p+SN/2fFIjCLyMiez0oWfCTJaL1yN/XHOYfE2fRWck8b6IC0ZmEDPyF4JPIvKqvXsHOXAwqh5hgO
8fAyJjI4ioIUxcGeAS8yxznniY/8ntP2atzR/sg6x9z1prBCQuZXDDLd7zZK2mNPMedtWL1hb8nE
KtIugE5ylBfsa3BugBAdXJbSQkKmF/S1XrWeQqe46yRN80olivVW5U63VWIMalQmxGemZRD81k5+
KaR10iRQue6MjtQ1Z7dd0HYmznjkuiyOYVIo/Gazu5tD37lWRmztEfDK9chmceWDGevXDpfdDnA4
vlBjkzwbbHQsVYgMU8swFfNtNNs2Cc1hRAq08yJdP0CIDb8mhCcpro94W7h0Q4dO0yKPWeNds1T9
FjUJ8tdgJjp4suIKmtCLr6MVt/t2qtHytJ6NApmPH5XX0S7iAGmQdapjl27frCWmvC3I8iE8AW0J
n7dekvm17Kf1oagS76XPanvZGSsuz2uh1i8SN527ws18w3GWf04IA064j8ZtEPBTgfbaq+NXGVyK
trhPak+U8D2oXa9Nu8bdBl1OeUM2XQyb0U6aN7I7S9phAodykdhe4r9z2BdfxWw7W4XEm8mEOFV0
Qj6xPgSDdRHiXKJn5rRd8KYRBBIFxzmapMdZ1RGLJYNG/UHWnO+wQDmfZgaeSKsooZyh8fBipSUX
zucqsnE6cTNGHMfG2XsOIBlDriM7BvlOfA8ZTDqSbKa7JIx0EQKhunJC9pWNzb4wBP+lVlHoq/FJ
ylBjhy1MicS+DG0BFW3Gyt7EfU0KUwBjQXrbGIGwxsZHtzkQUULGkn+PjKm1QhS0GtAJDjIO4UKA
uRUEzj1zAyLlKIqMBE+PcD8wNdYCmRaMRCWTKtcESgXuDU1/PWFiQVP86IewfWXV5cyziQSJj7LN
yhdgcc6tTidEkcKFV7iOyMZ7BtxnouqEGfZQ1TYvQ4th3ILXubdCksq4rUUUZduYQNFkG2dD9zGj
1PdYoXJveJGBJuO0zeTNKe2p26wDdadc5xLdzoLlDFHZaBGtgjWMIFqiw6LtSkKhSLuxptxuMkzx
vUXgEs+aeJJ5F3yTTSYflxHsu8798UryEwLKJHopjHb0UYWe5nvOB1Nt2PXdauOEOF0gR03Hu1Ba
gADKId6yD+Sy9Y2odsvk5u2GqvhO7aMhCwgkJZRnTAfo7oChrIr9bVsFHiPLZFs3V69Reybqxp+w
T9ZkmWS9iww4K53qL6E91SEIa9iciWye6tDF1TBviCgsDpmzBu/u4jrJtozsQW+SFShfy7D4OwUe
+Tdh7Z5Kf2AAqjxXkpczN0XHu+JkJ5EEY7bXJSmWgTOLU9M2im2/sfMHJeuYrLLe5DpVFbk/uyDv
HAT3RRB9EE2adcdm1m2340hB65/oJARaLRbGUaQmkhLPliyxNMaOKbc9ObXzjuwabjMAkuXUtz5X
BvF2nDxOUb7EjjeKGxbRRB2rWc8S0m8u/siGvMFULdZ3NKmu/JUwIZWHdhgd91oznxap4uyJbzEE
ZMnpUVoEigaUcR59VPPwIIIguYeaG87aOS07chygXN5Ia0y6c8Ba8iNyFJAFHGKdIRgQorsMq+TL
wd3Ub8kiK6prm2TqT2aS+SfTd/5mRoeaOWuOJOcVKLM8emAr9ZZVvStPKK6m+Vk5Cea1OfIYo11V
Z0d7ZZw/+kHtZ3tME6FJc5vMmzSXfTaSRVlGZdoMK4SySQxaXdWbZ6vrQ52WMsBF6q2vWbyYH/FS
VPahsh1ZbkIn5tlz49E2BPnlAepjSUzYbTHrhIk5M4CHo2qfE0ZObMZL3r/Wse4u/4u6M0uOG8nS
9YrQ5piB1wjEHEEGB1EiX2AkJWGeHeNu7lruxu4H1q0qZohNWmU/tVm+SUoPAD4cP/8UlvBnvcyt
+whKhU+MZ9ebz9FgdliutsYrzZ8aiYQJioi/6JQjgVMI1dlaUTYM0Hf1NvQm8Hva32HMc/Zlmh8C
KLX5KsUL767E8E6umGXdkbpc3YQ6HTmMtCwHeX5H0bXAbGe0YQ/EEJvRfe+n3ux0GD16ay59renv
SowJX01sSa99f1KxCm677VgFAcQbVRXr0Le1B93MIVhi31foHtZ+7ovOC4VLZUHI5Mc7t7AC4SRz
i5TbsXPHV5NOLBRchM8x1w6lV7aTFcZLUcLGVjPqItzNIXhOEQDiJivxrFr6JXadCzc27es3Nlg0
dMgfCoQn/HD2jwUsXn3vVlr5TXZh+BxYkcAr0Icj1wPOHI3cOMXS1F8Drbde4rJ07aUf5fZsc5c9
sVjbc6B3FUxOq/sBnBxEs6IAE1TDEYvRbbL1AHALqRc0m62g0KZ2gd1d+70sMCdbwBvrPJwFMcxj
m91JAJy9ljv5neoPzb3jZphMqbZqjdA1CCEbpqi/0xVT3OJ66DxiATCtOpF3V03eZ7fYKjhb26rH
vUgJp1TDMviF04+LUCdIflt2idtBk7iSm3ulLLhxBmd4ltoii32uxKZaxE/0HdLNgDPalUa7FrF8
1pkQMav0CNc9ONE+W9V5gwxc0TIczIBU6gIVsKsW6aLCl21l2pFOWyZocE3RYn3ZutOjnVj0y0bL
/zFiz7ypHPOgNMk5cWA5uHhkwbCAq9JoumPh6CaLLc6hYjWW4DkAufl3wluJwtWQsYqR5kOlKrd6
pZY3suyS20AL/LWRpTDJC/8q6Md6FWGGhEkUqhajYpPTG9+8SmVqP5oIqq4HDNN+Q8Ubr8I0ieG+
hRKjxMLRPT11N5yB8/KLbzR7aLkhJ+5ZBLp8Nlsz3qRCNs+m0qJEHnN/M2hFswlavMJFaqgnRysC
Wiulv65DlDN10I1sm0a34VaHfgqYfOfXEhezupzMo4Il2VaMAx0gk/T57QhB2dPp37EtFEI9KbUS
LZPS7O4tNW1Xetk7q3bKdiHn8pA329rtHrS4XMWykkcY7ZznmhFdlVM/cQbp9RnuCn4Podvcoygb
9xyW1tmtRc6+Ppf805sAJLPKpXBUIGDIUf3ayIm+qkWUrVwMAeAkgZMZNO9WAL8c0qKNjesa5BHP
Br9ay7SirADV9vo+R9M8SWVRCtO8tuijH3Hpbval1HFhtqFKySIcT6GSNrtJlNOWjEzuJHqIHicN
FMLhh8w4UZ7TnQoKGV3ZKVcO7N6GR2WkRwe/q1yqtZJex3VuroMkd6/qzHIPXeJGR9yvgmMI12zX
wjFaW4mNk7Q/jsEu9Ev+MabGbZ7JU6U27UZXCgH9TVZ9nR4bDZ4pFgaAmHe0OIjWGXVHjnBVo8aD
xk8jSa9lxQmPH9t9KYv2GDkYyV1RTniF2ZkL+ND6PkCHDdRBjPtiVPvZXDCEnRQomnrso95YhJQl
Zxx8QUEQtTKPuYveCDnh325mSsaWaRSE/URdcJO1LelyFoojiq1hhc9vtTPLyn9x7Mi9mrIBn/Ia
KLXTcZlfVK2KL/MiC6yG08TF5C0UhJeFbfDTQEa6x1Vf7pNxYCfnDudf6+OM4I9quqGDoX5vHYL5
jBq2RQ4dnxabpnt0inBXmzUzDpaRb5dC4qK55WVckIGfudTqCZi8XvfIf/TC2dizJOgNrDdgXS1j
t6NBQjjf4a1VQoUxvDhWJHc2lNF1gRks8saIGhV2I1dBNHv82AmDea7MAgmPgrfB4u2CKhLutQDE
XDBAbrk7trRP4tHnLvh2e9a1yeGO43KbtmrxCotomVIXk6s4Pgt36m8s6NerNEXNUltptIh6Ciln
DBxaT0njKY2h3DeIZNZuXz8I+w5xerw0BZ1BdwArprHp54gkchej0j6sirNdjpWXxEO9rl0/wrDO
Nxd2JTFzi3X7OggFfsutE3LGRcrIyQbhu7GdzaTY+5GMDYQaUcBxlWEU5xfelCgDZouVZKNtEqF5
Qo+UZyGdZp3kznSliAFeWOtWhwFJBEUUz1eQb7pVsG3gVmCbZ93dTya1SFNm4d1oOsNr4PJJW+j6
Q5eFWICw1HWXdgRnE2V8MvvcF3k+3CfZhHosZApS2aW3Bjbr2zeMLOeidRKyAzxPNPQfTqzRnDG5
gnXDCD9DcZgpwqJ1UFc0egyn5xYRtYW9RQpW45g1hIb/+AYi/0eI+v82rNzVDWHOvl7/PVp+fq6f
8//7f95j5f/6V/9Eyx2iW2DmOvA3dNWAxfJvtNz4L5a0qnHKCxdzptkB4J9ouabh6IRQGaMnsof4
IzyO/omWa9Z/oXx2XBB21RX86/8ELL8QyBuWQApNR08nd4aEGPvChaDEw8JKLSNEsGMsh5h7UZDC
TG442t+9mfM/wPf32S6If2cZ/HtU3prdABA/OYD9/PGszH7veCBhlopEAjqEo78JMow3bKSlPxSp
mSvpNuF16+S5A4857JZ4y7rFwu4MQF+3xIu1jaFY5nnqjUMnt1XuxPvCrka6RhH+ORBdduhMkzNH
s7sd9DFdZVjvbNlOrU0/uspTZAbdnjB76jMH6xAnQAiH7E/s0AqTxICC9WC3CJEdI0AHN4bjj1HI
YIUXlrhBTmAcRDpW28GGqz/o1SOmMsLLgmLy3DGpQmrCDGsho4uv2DCMb04gyYVsYkz88frvluQB
VERHtTDE1bHsN2Nu5jsnT17Id3QfCFKgwmKF0wWxYd1qy54SM4OcHQMvjpV+bcYAewaA/Flr4ulV
bVtSR1yXYiMzq+TR7MZizU1aeSi6AlEs1OU2X7al7f/A5hVf7HBSrd+BtOtdQ6tga9Gr3Y6KrV6h
s2APM0vq1BzOY0ihO4mBtqGb0fjOtfa+aXSl9NC6ui+og7uzo3Ajy0Dn12y34jV1avtsypoLSwzP
V12UWW5DsRelDu+aAxVkkMog9QdazuQlBLjXLJXCgHzZqDYJNjpO/yTzbcK2NCASZvUvysLq3JvS
gVGf+vTAlaE7Idv0Z2WioWGRCqEtGKpzHUUruA6Q2+jHiAKdt0p7Y7QRI46T1tx2XVMvJ/h9W99H
bTJYovRK1A5cBuYaWIT6fRQo/lHm0BE6xF9cqKX/Im0bF9vW5qS0Zgdgu2GCTDSGkFdWeCXZzY+0
pyadXE3lJqQb97T8xaMRk5ardcpwn1Wl9V1gueLZDrfuAWEEf2In025UC+pbZWx7eoN1d0J5Pa6z
hluHjV/sC8d5g2dG02I5qSkN/s9NuscDPVnaTX8fKjG0/BLR5A7rd/M+8OWwHsiPWeX1yMLwfXuD
GE1dZ7oNdNnisVOSqvCtHaN6JRXMXrExG/a8PfB/lBLW0IRbixdAzoN4qTH+2rr0f29dJ2r29GoU
Uh6sZm32KgWj4TePrd7l61StR69NrBoc0AHmz0G8vFIm6w5mfJnBA0sVF9Cyz05+VGdHX++be8BY
IEMuX1gkAndcCVs3twCrL6OM25kJRgPPwY4euAoT9wCZNYFJwCu0eRTkbgtTiyGCu7exGr7gCzRC
wUh2+GzhDmVU5s7q1Gyd0hLxUOp1O19oWDgbYlpbrrpS9RGyJujlLheAnXj5ooYXBoGFPpXmJmrV
elMGFnqRGOMy7AfbrYNK0+OLBx7VhHLCSbndtqMiPdwBnH3tcuGlM4QJkoUi/aZGXkC5OoirXlce
hStBU3QNr5U06xHbO/5WjQQkyURZ+Wnj7oIKZ/3aSvht8Zi0x6Yl89KY4NV2mhvRThrbPRTpigxw
WhOQOSLUeIl2GHy9vg3xGbnFGDfPMh95iEFlTJAJZW8VHszY/Z3plBoISIOtq+IWMIkaAQBlJL7W
AnU7c+GYTzPr0yytqza2WpieYbu2cgLOFUFn20gia2kZ9BgWCn27VTzV4d4cJunlU97RmoIoocKI
l1C+zYSaxE0KSmsu7SuhApy5ToavRafTxW1UiJRZXBzUGJzNbfrhmpCabGeXHe5hhKS8CjfFMxC4
57U3zexQtn31jLjrl2sHmF+IOsZJU8zyrICOamXEO6SQ5Q7OJxwAoqO80FIFDRoK/CxSjW3ZCRJy
25KayaITm1dQJDsLDpSrBTS+6Y3cI2bJ0fQq7UALKTOVCFoUoA5a92IQ6JY0+PpBVSLkjgezjJeR
41ZySc2a7rj8wLcxyQKA5YwfUai97ZwF/bzZM4BMDhRtA3k4ZkcPL8N7DUdOPM8enL53z6lLvY/a
0nliPSG35Qb7WMI0PhrEJUt+sA/mBPqxsrl9LE0niJdOa5DP3mbRnd0UNMOkLigqw+cYXOnsJLZ6
a1fd+FRymBHAaUy3OX7jS9h3ccjuhhiSTri80uJYW7nkT5yVrnM3ic2G4VcJeEE2altHyapdEZIS
YqdmRKPY7JXHnJ7rVS/L7FhEfE03nrRtKWNlXTRQRlw9bK95RTkHtKnaGI3HzuzAEUCyI85iXNj6
VB2qWNA4lzKx7oUlJo/EUHuFAWCMu5mtrmheQyyR0vw1RNG4ti089S0EGItxkskOg+vy7Ld0W+3e
1biL042RtaEcLeQgOwP0aAO9XjlZfVrdaDkte81qi71jw+mEaOxOCwSDynGII5XNbYhOqCZZLqOD
k1cXA7NVv8cu/anWzq+pfopEeBMFJKKZhsEnDcPdZNnw38t8uK4Vgkmgg9GGl6q29CunhaNbG+VR
06U4hblt7Xs9MHa+EyeYsI1PMmibQ9Im4bdKpcpuC5ahTEcVYpdle4BNKOVaPC0WcJz9M4fid5hF
1Zb6xFpWtY3hWGcrKzrds/Gz8Ww2GJcl4ldowXXLA3wLF6LHdD2Lk4fBNLS1n1b5ZpgctGSJZG2a
TutFbaNvSkUTi8GVP2WR+qtmtr3QsCr5jrwo3uS4Dq8TnKLn8JinNjOCOxNchoyxIVq7uvkQYtu3
49ema61us22EO/wpSDBVF2q8B930yZfrotXUQodstLMylOQolK5Y11oek5WHmKzsKn/Bput4QBj5
d5Tj3Pz0vOJy3/f6wZp8SRGBG4yWdJHhjXAbj1CByjXHSRUsh7o0vsWQoDetYlegRE2zwwpvMCEs
qc6iLvTm5JSCu2uVUh7VbYgYqu+k8YCH4bD1RWUuNQHBEAe3HyE9xRfiuuDewPBa+uYUr8HdFnaG
AyQMDP9KaoqBW2Hm7NNxfI3nlkiczRtDVgsvotW0C40RF3fpEp035+/gvOdqw7dsgow1Gd1p7KRN
HMLQ0AYLgl/lJIAfjMR3MFtR9LvJzrSt71TVTZ/q5XOGimxVcSmE551wpMLf6JYdOqVjWkwTbVON
W74bdPI4BT4KegfaH02cfAsZ0V5q2LXgSanaByWczsJlxpkIGLjOV+Dv5XQF16M4Cj+fFvrQGZ4T
WuGyzePs3Ob0qYVtajdxWQ0b3zCVtR84/a6ejJ8u+rRlBaESUdfgoCFyU+3VMg0SJCQsJtBU+ezD
zrqrwjz6QcYdcQcpm0pjKvUVevBqwcXaxMsxFMEG7Mp8cbRpOhqBkm1jM8MYA3SG4Al4I2pr7HHJ
ubNsLcGHoYZ1riEPJehwTdGu3xgNlMzMTcxDHpJysNSGaoSAJrTvDUYv8OxzGlh99yi549xZYdGf
20SHKVMMxUktI59KNhvwnIELg11AjuaQ6nTdJ744Gebo7MNOy7wpnfqHXqudZeVm+iEiJO3BF8QJ
xfbkbqe4ivaDjsGIKeiNcSvX6XdVVrJPp0a9CvGuXDYw1mFtOZZXSewdRqtOXjQ3pEzFeKR7dFDc
LDNKjGWjYjsalSbKJxifqU8bumh2mq342xDdN9o52iZR2rbXxgBni7azQR/JosbA2WKnoS/cYF9Y
nxCYsQyGqYEZSRFWSSPbWvGkbGi4FiscP5MNuFHyqoKWHoJR19Y4tBRrkWdQwIYwPfQJ5F4Ar/FK
teuJiVe4zRPyx/rQm/Q4HdiZ0BzRVpi1ZaD5DKxHBQYTkvsCHjTpdIZTFN9ZBRgt0iGmzWIdNGEX
C0NHVbOcsJs7kHRHpz9FXrjUtVmvF2UjliPQ8MKxDA+Svsa9HGx9TUJx8NCFir0IJnpmIXolD0JV
TpelhvhfOelNZJbGnezddBniFT1JeC15lxXLesR3Sjesdh8M0GSbQHlulVHdtpPT7aauSA6NkSVe
KMPormiwGJr0Ao9QMyjXnRzJdNRbHN5rl4AzoQc7A6rNXk7G9CPJK2iWwgTP7eErT4O2l6IjtUzY
1akhceGVLqWGzB0ObQEZYK1USb63WqkdW3iAaw06MIYqgAGbBiobe1DW7mzO9isZUrpKt1qrioH1
pa2eCIZLNjjUdTtcAWr+fZVsG/bEhZ9ASio6bmEQIVCO62b4nGVp+Fha2s+wzvVdUUiTeresWW30
S3MzcPCRIYwpkBWMOgX+tOo26jG2a/XUijikwTMG0NoUVDQY/pK0pYUxVkpSWWlJ4HKHglpNdqgf
HRssxemKYpDSJ9iKkOG0SVBMr6uIEzTqmL3JHNQYlohOY0N9EcrciK6KnhiOmdBiIQXPBx2uEvKx
0ySDiNLdZ14kHQ19KwJrgw1xcNt+eIiEMl0xaEPmJ4I8D5Of8AhFIkX4VASocGiR425W+jtHo5hV
Fbxju1IJX9tMKV4Q8Rjbuiiw0MxLwzqWocY/HGC0yB6u7WImxOwUV3AmKnn2nMQGobL6KAQ7f3JM
fZXCVg/G4Xc09XWDXh5r2AVChXgt6ZreEXSCxW3YU/2hRzz4ScodXcgUvGRoffeu01KdQ6epkQ1k
wPqgdhqw1YiiYNPpev6dlDS+YQXK8S2OioA8syZyQDZgt6yl6aQYMtQa4uVsHK4ndvXvuRYMRw7h
7BhjJ9IuB8zIioUu2/ZJuiHhblztofAaEWz7gm3vl0BY/I3Zytna4EWMTGqkOW8EA1SuQoDKipYu
u/fGz0rCdnwI4qo4JYJ/1Zq5wLLDjxMLqINc321Qz21pAQoA5FPy7RyiaGDDGUHwsy/UzloFCNNe
AigJj45VVHf9WOHdZPE7Eo77O0ef+Ov9PzqNJXvJbNeRnom2NPHBzeuZaebPpKMmQTO0Ak8HenZL
yHjNgJWIR0aQ1exMO4uv3GHoaogRuvYYD6g90DmY6RFoKrwlIjUr12krc6pY2vs/JzsgFsXAJEoB
MsQLn5BAWENr+gc0j1uOJDwfsHF+MOJO3QdtC1Q+tlAjuxa83wtUrNo2cBhABWLMEfZWSV2DsDpT
bls2FqATpwRFFzFiPkFUXbprnJofDXHJsX4EIobf0URDVl3LvBS/65wj2hhq4gOxsbKXmSpp9vZ1
jRTOb3P8wfBuKjw+RBscAFVAh80Mq0rqP1Ich84mGXFCWAlUZCpxupJOLM+QiQJ/GwzSv8VXLfyh
JWk2eKAWob1RHK6grhulGui72t7o0DsA50bEjQD0mnzF/I7jRyGcNEP14Izf4Dxh8wRTXyATEZH2
qvHXFp3a+DZ6OgK1oAoD5nHsYtWyGAs9vm1H322WRObRWhJhe9dAP/2hKaU1eFoIe9UrR4HNi0Xe
7pavgm0rQLpVe9h6aMU6xq1t42d9E3pUILnAtrs1in1fJ45NSpUcUsqhhgDlHnToocmJZlvLrq+v
RquP1kIDblz0MCCibUiWkLGQbe6P15Fvpe6SzMRp09fORM1RtPd1ptf+Nkty+Oak+op7KVMihepa
LIvB/pUNBkoM2CMruMTBfgCfNGlEUX9B8E2p2cQAJK9Yyfh9vgPywqRIX0qbPoQ+dTD/LO7KnVR+
J/C8d1Pd+xvWS39iC4VJMOJgw7fvbWgc7lgd0lQZz2Vk2IAyRLMsa0Q3Xuey0VWA2QgBBawYoTXJ
NQWBQe3Agl872mDDfK/0b3Uzs8HT1IpPPg4UN0iF4lOs4FSnpsF5TJoDSgEwyjLI1k49mj/5orZP
f7OFpACkXffmTwUmwpIrHXwXFBxQCtR0WUGN8NzQnknbTfU9ppkF4Ruqp9YqYu1wQO1z6HyHCDB5
h1lPsFNNGJuiReYfmLJ/qDQbDWSTBbtmjPubbKDC6qafhlHYe9hGcm8SJLroy7I/aRlHnp/U3SbP
0vahS8hgVOk9bAx/Yu5O3JNrC5t31p97rwP67hAaqFd6lnkxVg38PoKtQOUJvbbFJhkG+dt3SZcO
+nI4FEb1UkJ4JQnzV26IGv/kFD8Zx/DpmmTlAf0kjhZy3XWdvsAMz9n4dqNzk/WrlTsRS9RAHlrZ
0pIvkmsw/B5Kj72bB1DWcSFe22JoNpxlEPHDMFu2g4CPb0/KIbSGcm/0ioUluz7cRQW1GndrnYmN
XDbsHTIkBBYs0HKgH+Ho4AgvrirON39JsO7azNw71yiOhovLSlLD9cAuIiV/lIK1abBAN6d64vTj
MitzK1mqgr8CYEAYUaPZZ1lq/rWEXMjmV0G7xjKj/ibsLLwu6zRxlq3zOrpFdyxtUdyHRVbfdnUS
npzAUlH7IpTdAY6ZKiWDSK57BH0vqo1TxGI0sArMc6N4GbtQYA1KAf9UBywDcNN2aVEEW6uuSf1X
3Z8Jp0GDOr1J8zNiJrGsgMDh5jpuka0DwzavtUSwCh1XQ57ahfh3jvlUht6sMOOVaBlqUfJao989
N2R1EYrO+dYgN7bWepI6ZyMT8XdMM+bwPqMff4VNQDO0DinXGmtVt4nzszBTeUBgGp1Lo0hJbgvJ
7ZQW3XWYUW01h8IkSKEidVC+NfisLPscn5k2soIjkoThXqnEzNc2uh4BdzdC52b9uQXGEUGhOacS
ZxtyzUt89pxprLIFAccCY8nctukt20G27SC2ccKPxfjYptO4gBmZHLpswN0ygCK/4JOHZvLQpc+k
c4llbPXJXav26tM0DuYGWqa9CRozfnIrkGinMexfhg+EyBdzv9eWrnFAWxop2VEWXNd42qNnCGpY
k6a0i99lpeaeiKRBCKwgS30DyXB8tSKbIjGAVAHVoDpEjiJ2grnxAFdAW6l0gA9K30xc43VanhSN
8aHvoO5UWbz9HPb5E19y6UtgiEEyD/ihg1j0PeYD/wL0QNVCZCXxbswlXEtkd+3681EufHi54bno
RzVdGGBshJNc2DzXSGq4EQW0f/FY6ekv5BBDHHz3uH3+pw+EjBXQzaCPjj+fYwIQ/uWB8rzyUyTr
aBPLIy65t20tdzCKHj5/ogtLacNiGE5cB3jPxkHVuHiijIFDmuzwvKrhObeGcUXgc7n/fBD1j/fG
KFxNZ/9ikkYc4/LrqIM0etUPPe0Gt551vvYfo2/lYVgG53LhrBNvi4vTj88H/XBMfJNZ8mCLrnGh
zY1KHKtMynfIgtYyQ48QRuaNTglcV1efj6T+ATjOj/duqAtf+8ro4Y/SuvWsJ+UOcvVtdRPtIWHg
wbyM7kW0kFfpXvGag7j9YuQZNv0L1AmpS5g6vXZ+AtDvxUOWmqGjJeEhyx/jsjvq29B7nW7Mjb4k
5s2zvS+G+3O2MJyrqrrtOFjmX87/tm4tWFIMBylxVM4leZ2raJVskqMenFRulDuGXf+tYVUieBia
fhHn2F/XAi0Ju2mbMPLEhmvbPQsb+9lvHW+X0OLHeNV/d1ZfPOn8v7x8sTooOoEYhonv98WLDaFx
+DZqAg86SPFsLBH9/lJvoQ8ugTHDVbz5fLyPXiy0NUtX5/9o+v71CXP6b/PdA3gctyQwj6OL4O7z
If6cpLb6foiLlQ5QJgbVYu8y/Q0BB8Aq2Vrxvkq3+2MfnlmGmj4PpVno4y9GsSvCOluHGSLAlUc0
aU59Lcht/fxZPnpd/N+JqGLhmZAa/vq6BmIBBm5S7Cc5Ch+JMUa/+HyED5/j3yO8pc69S00IZOwM
uFfMzJhs08oNHPnpq3n90RjQkCFEAEPCV7iY1j7CHNT087RWy1tuq4B1OgxPOTmHzx/mo0+PIzVL
CMME27qMgJg6rDA1KLCeqMIzyJdUfpTNdJpSLKa+iMj74MtoQtNm1gWHl23Of/7uvdWyGZqOm5ln
YTLdQDHW158/i/rByoSnAtfFgNzh4rL/1xGwouLSS96NB23RwpOR0yTb4MlY/Oy9wgtXX32lrwa0
Lk5i1LWI8AJ2dxzr3FdzrW67beWl0xJihodH4hdzW50f4GLr4QH5SrhLQJnRLia3HU16Km0WKuY4
G/sa5vQyWWVXIFsrAIGNpI5d9h5WC/ni7+21NFHn1cveJ7S3BK93H1DNwK6jkQXsP/VQJpaC/jbv
VGxoOfyKN8Ymu262n3/S+YHePbA9JyVweHFUm9iG2Ma8Tt4NqUATJHW5i7xismktDpoX5KicRqJ7
Ev2BZttCaxvv8zEv5ukfY17sUzmaDD0lSNaLoUjk1aqCh/c/G2FelO+eKlSnBD0lI6As8sg4j+vg
P1wKNpUlZ7CmaxpXJjiXc3XwbgjNSSLExk3kjSH5d1jrmtt4je55BTZM8kmy/jK9Zo68+8unehvR
VVEJMUfdywBMWoAaBmLg1926f+Dmz2yUK3uvLeLVV7Pismj8x9PRdQP00XFZuZwWpYXwBbJ55EUP
xcPgNVc4ynnKlYqN0K71gO023VN5qr6YjJfL/Y9hL2aG4ssuIYgdhTC5Tveqh2PQRrsfx7W5J3Jw
/dXJf1k8/v/xLMxsKKyocC7GgxbTF3nacy4vOo9c0eDB2meQUOgbL9RbY8FNz1rjqDYs6Md8sddc
nEBvY+tI5mATzrWHfXECZT4dpsxJI6/q6Y2kVfIqkTHOvN2vsmE/HGk+ErhrMNDlx6QV1Nj5kEU0
XruthhzeiM2NC1nr80X34debyw5dnzcxa3b/eb8kJvqukgw+Jg1tAK+8z1akgZ/j5+xeJ/bnyzl6
sVe/vUBD1U3a3poKCH6xdU1FXGDrkc97tVieptdpzbV3MbwQnriMTnO5aD7Arl78/upU+mP/YiG+
H/hi1gy4l5Wtxvt0YYrV9k3lG39jbpCqrtsWy5zrxcVJ7qYRviQ2j+b3+Pr4or92lHSLzLP4Hw50
8Q5LVYVW6PAojVt8g3rm0Wk9azE5xV/MjY82r/dPdPHOcEhQiEsoWdm76Ziswms80Z6mpbUO9/gO
fT7YR/PdmE9w7p9YNVkXD9VNatOkLWON5U/VfYpK7rnpVwlmH04ChLamxhq2SDD762Qvchqsus/+
P7R3GB0upj71/sZj8AQczmzD5ltK6/sTJulSheUWIQkmC6Na2s53XflqLl8mYv9jFb0b5XIbihOy
IRpGIXuOaif3SO8KfulXEq2CV+2g3OFFsCBc4vOHuyiL34blvWk2W59JgtM8X949XK1rUaj5zPCS
wECKcFwlxwBhuaMiK0tvdKe8/XzAeYJdnp7vB7x4TsIZnKLz56NF75eT/w3sdWHjtySrX58PpOof
juRSIdMLc8k++eujOTV93gx2Am5HbIMTh9gEm8jTNzhaI+S6DryvjpKP5iIHyT9H1C+qZNNqc+nM
DkfN+GTkt5G4++KRxPx2/nh7Ko03alMNKvtFQYXZpmzYgyOP4ItV0uc6TFAj/JVVZo3TYJPFv5A7
gi47ULMLUgmUcd2X7QKWYWphuAyHwkJwkk06RgolJui+GRAbJeEkON26qka+fFFM60no945RtlsR
qPWirRMV4WrXLMvYGLc5Hq6HcDDsK1xDzd+N1mnbTuume5n5ZBSTnfUD3YhGdmCyKFu5G7r4jIna
t3i4Ddv+ALkGDWF0SIm4xCCUdEZngNgdXVeS8KUKZ3Qnr37lk/MIp2UlpuBUZ+bJQbOBj+VT2min
YTRw69RhaCXpY+QGMO5sa9tXfFBr2Em0Ybbwfwa6VWF/r5z6wlwhUUL0XlJCK5WB11GTHmNMthJH
aku3S16srLuJuyRGn8M7wKX8nCJ/EgFJD0L81ktZzs7DyIFhUjXmI5ch+tTxdFubOiR0+5dANIl4
BqWJGte/+6ZaG3DFMTbIvhGZ9QKW3FyNE1bVhRWHd5jWu+vPp8ZHey3r918T4+LChM+36hvDMN+j
EdknXXCbqi7N+VKePh/ow+ri/UgXy8pywtaNcmo1MLfXcYUrxn6MF3JhbzSEYouvasMP19S/HkwV
F2tKtQZswV3WFKgd0NyPxn364oE+3CfejXCxBepJGBkNXraee9evmqs5YPstXTtaCG8Oo/zqcvv5
p1Lf1vi7LVeJdRSdneTalS79TPMy88EH7vz8qb56bfNDvxvEgAnQGgM3L3yU8WyHDPpVNfvhRv7u
tc2/4P0IZHGjXGHGhc2P0A73WLuvDTulfxMsP3+WD89GE1o/XRVVoJO/eJgU6pNhoeD37DvnRl9j
t1wtum1HB4AglE11ry3I49h8PuiHX+ndmBePF+oQCNSer1QY6K57B5LrS6O9fD7Ix2eURpMVXMBA
e3Qx94jo0BqYPCTivnae8gPbtmW0qX/PVztgzS/7OB9+s3fDXRy+uAlKIecbPzXTjT4dxsZdpHq2
byG3ffFk87r846TSuHxwJ3AI+rrYJjiWiATrTDak/dye6rZIdjb4fCzs3RcjfTjV/z3SLCN7PxFV
U5ptCu8Y6v1SNVZkAa7gIt6azaJ/5dQjQA8YoPjiy3016MWH60MMkekT0dmIjEWanCLx/YvHmif1
Jy/wj3upIRq4m1XspVWHJjuR2LoPjfE9SnI4C7POGy+9LgB/S8ryNGeIr5LRTB26OSanIIKAB5tw
yy+WxfzZPvtVF0txamPMuEKeW+z9TbbvtvWqvNK2f2/1/Wv22BerD6OIdKT2iLw6ZP+KjejacFEW
1MH587f88YL49zjzLvBuEyO6cqJTy/qTEdkCwe+STAmTQNC0+6Kl8tV8mX/Iu4FiDcMMiVrcayYU
vdWrVX2FL341Xy5KQwyzkt6aZRW11/4ud+PTdAD32w5LncQU9CVfVrtfvbuLkuP/kXZdy3HryvaL
WMUc7iPjzChZWfYLy9a2mHPm198FnXu2OBA2cbdc9oOrpsrNBhqNRoe1jEzMMOOfYIwvNT29UV/a
MnTHBgiERsFJ3jNXD0DGwHMSAa9KUxyjqw3t4DW2SV3QUtdqV3OPMZ59U2A6/I0MaocKHX3GMgkD
FODUTvNtPT2iOW1fBlsPTJSiAYDU6qnTk/WrNkZhg6vf+GUk3xNk0/cFSEy3i1ThfyVQB0cAwG5H
5r/d9JgcOpTs9KMWSJ58wTuh79WfT55gI4k+OmMPajYFe6LdZHfADEb9AWikdn8ncGuurGVDqQuJ
eDQSYmCFEjWZSSk3MkQBLd/tjYex0Dnrxtr8rQRq89N6NFohg4RCUl25+qUvgHcBlsL+7vD0oI4o
rt4WqH+4fuO0cPIJo3a83B85c/SmYH1M9J0hlWq+m8fGzYSCCl62DO9DATilhnInxRdT/KQ3pqM0
lw2AG/cVIh/8SZwsG6qsI3mrqZRCgoYJA8C0pS6GshBmWjl4BMXQMO/ROZUf62gdb9Hll8/evlhm
Whw1PMCrgRZaxNzZuTcFZMcSZuWaumjmbEHpaoPw1k5+ELobjES6Wu2MHmE6j7QA0Nv7wt8L/J+U
3ginrn7MuSZqZEJ4eYlulKfpqvktOJoX3ogumhZdDMU9FleGZ90uqI3lGMUVbZBbHKfG478lmAHk
diXk85UQR2tA2zc+pgLA3R2Gam9SP7kCvYpuV9+AKxPwElUsG94KpF1YiNnhAp1ibmMA/0E/SbrJ
W2DWYdyKoHyYYUzSrJYYbEIW/lV/NK9avC/9yVtdPMePMpjtq2C8EGtbtdXX+AlTaEvryi6G5VzN
3d9snraU5+lnFAg1HcubVSFaBjE6iOTYvgietrTrmfQeSD1ZigGC01pVriI+ZLH1h3pQBzUaMTOV
Sdi1GvxwAxkDb0OOHnTN9j2VuN02Kh5YhXY0MbSMbeuD+UU/DUHsWk51GQKb8BIgUEGAjv1L/bAc
wE76FUe0OZPUawOtjZjPmSHblDFkM14vJowE+aVWFgG9cfeFHdt4PUrReGjSyayQqu2N0Y1E9feq
1s+1vvBaqpjGt5FDKQXSbrTXiXhCGWiokuBj8ehVghDJSzSy+q2DSUROOMyRSDfcTeglThoR1wdG
w70pqpyqFTj5I6a5fyilUd4TWFhSiHkWJJyN2hukxbOm17qsHve3iKeIfO4WLblXAO4EKZmBrFSL
wVQt5sRybNe70YTyhClaMUtrxfaQoiXxSspz4ZA8mOqDGuykcsyBFW4jia2jP/G9gkgtXFIDJFSy
4CdAEAZUxl+x9QqGXTtdf35h6UAqpqHt0TI/da8oba6L4OBMXEwMBNq0XqhT8rAvgqnKRgTlVUc0
ImOQoYOnWIZLqRYvtGaK7aiQHqoQsBX7wpgJSwO1SXSsalDHohauVAB0pwEm0u08yUefuDcCV9NO
nMVHevkQLu6+PKaBb8RRppfLE4Yhket1hUG8CnvpEshnL7XBu5l4YijrM8Kx1MAFm7qr9lqnPhiO
7Fr291VhJt62S0eO2SacREkK0E0tbI6Y+HiUM69BcvR3/dx6si9dSb9FwJ1UmILn7BlPOcpAQGuE
GmZXI6rJAERivhbAnVTXXxztyBJ9CuQ2O0XdvAoAxxNw7KVo5MhWZ77sHASUzuCPhYuJVhcdzpxb
iqcWdQvHmtCjjR+mITVup032sNyb8leO70Yp6nJCr7sigi4DS6ekzor57qbmNYYyo/6NCOpeaoZp
koQFIvQM3FRKfOwV/Zsqgd27FG4Bnvq0v0/74jS6AiCW5LFvQJymIJuHzr0FgG4+4LQ0uf4ju9Po
dCwmGIBkIFSpG43CD7Rxfo+UyUCvWf0f1qvX+X+i39W3/9jYGUATK42GojVeTeiiB9kRZQmlKYHQ
x4CT7bz2uKLh61nwCk9Y3dA1HIzwuiAFaR/zAGgYAFr2eSWIf/CJH/IpKwEYX6QZQos1vakfar8K
SLPGAnxVO3NLhxedvZfIP5+0D3GUxQBICGgGEdQlLSLARcI8ha1qUNYE1J4zeySBD+69B9kFgvQN
ZuHNH4DH2Dcj5qXzseSfWhgXZRayFt+Qi42jxN8XTNn04CBeRl5nLvuY/60tXVM3x1ZtJgWSWjWx
zTJyJysDfhVv3IMZ42wUks+dc69nmSF0ZFGFbwRoI84MzpLxJFB3TCmBxj4F+yna6oAyCL+lhJyz
zZNAXTC9PqAeu0BCYjVoygZUjsIJm3gSqKtkFuYwA2US3qv6Q43bJFG4pQ6eCOoeKcPCzCpwvbjS
TfekOrkb3xueFGDGOwCwiR+5cbBvyuzQc7P1lPsAgLKq9CRGa13JN39OVzWG2N33M+yOq53PDs/n
82yachiALAIsJzG2EfPEFmHZGLMbsC3wbn72WmLCAg3hGnqoqe0q8nQF3+WCOxnYraB5joBUUuac
e5jp/lCUQhnbQssQJqbOj85Qz7muCEjE9S4Q75PDetBd5TZ50BzA9Ti8dkqWTpjc0HQ0nhvoh6Ky
VUIhSZbSQVrTr8WTJi7ImqgWF/SPdacA7k9VQDiEMRiLOq2dmAMqdYQY8WS91JivxSTFC0AYTpkD
4uzxLbQ1ByDYSAw29yDRutOOHKtk2Yip4dmj6fgMjOadr2oMJuZBF5FETd70ABCmh+V3fhP7na/b
VuwU33RS0fyKwZg6GpfAya5icoTSWgglTP6J0FoD/0dReS0QAfb1Ym7fRgL5fRME66mOqeIQEuYm
uwCXn7cAUvsrIgwkNDVMpop03NEjcwEIRqJEV0qeAGAcd86a1d+XwjQQzO79Vwp1YZRlBKK6CVLU
AHdwkAVKsHr82p3EXDADMx04YDAHhfJOKohOqhCkLPBOgG4YwfeGdjakZlzgooMR4KfiFdwWYtbt
Tmb3ALgFwBo0Ep9vUpiq6BEhdy7QnaTwoixv0jj1conXDMh8EoGHUwSUKEqOaCw7FxShXS5KJQgi
kwm6k3j9Ch4lpCJXR3FyD4BVyT0Gi3kWwto7kHXKQC+VEC7SzWyA6UPPObmKxVNyUC76A/Cbj5nf
faHQthFDd7C1tZnoNdjf3LoAxsda2Rgs2jdCZq/3VgS1U+jYFXLZULCAoUfShGCOQyAo1UEThC5m
WZA+UYHwDewDmxf2sgxzK5o6AFpbJKVQGqiOjCl6SH4aucQ5YkwJqqWRSURR/NSpUgOhbFIa5J0U
THWCnROw1d7++jFjadwlMD3TBDgm3VhRo4usB3YseTpMnua390plAy8pqK4Ep/UQcgTVMUJbTPEN
7CB2+qhzPoB5eW4+gO63KPq80xqS9yLBPNoqnfJ+vjAcI2h8YJrx6owksKCfDoDzhV8kuqoidd7k
AaOtWQJpIQGWvx/F1VGFG2EM5P6ly2J3f3WZvmsjjq4sDUOF4XUUylw5MIDG5kkHy5Nul9fRa+3G
L0/l1ZeM8kNBesquB6cKINEgEWAEV3ICigZ9eNzXimmVGxGU3c+Yso5kCyKABuCBnxA4P0t1ty/j
H1YOzMIqYhwEOpTXb2RljtICrHLrTfXU/TQOiYd2ADCX2+IrwDc9y+VZItPnm4jfREN8T4qeu+Je
yEAulSExgKjDnuPYW6sn0OvYOVCK95VjRTZgU/5bEvmSTQjQmsDLlwQ8IlbjUYu/N3pqSwkn987T
hlq/Wm4ifQEXDXIPWe5Mo4wrRRGBRCM7szAd9xViX2Mbjah43hj0LgYJFUmKzu50Z/ynvBYA3/dX
5y5ui060+/grZmgqpoHOB1NF8H2+ioDfguk00BAgll7RDcA0rQKOXsSUP7mLjQxyFDY7VYCDRCoL
6DU5AANzwHp7Ybq9vfiKVwe8iJdhFqqmAkVe0wzSOUKdqyWcWg1ISikGHF5NXJYlafkFx+u+TmTj
KZWQuEadW1MkTA2p1IUZT4o56wWSsKlxlC0QIISGC0RmYDs9glTmsC+M4SqA8CBZ2jtquEi/v6Sh
GVXEiamrlh1aHt/0NeaowwoAIAIzvwp55cEczreoQXEB3EoSVg19Vrk/v4D8NjlkXtXYSUDgEDC5
l/aXpHrOL5iz9QM2BiZSyNQDtZj6mFZJqED4APzKFG8hy9A4MQDjIKuYeUGGGrlKdEVQZo4ahD5p
MpZQHpHLA+2b0uUA5P3RtN/394qVBjiTRBl7ZAzAJSeJWODENaCBtaNDh6IrIIz1i/jQX+WO8cAR
yThfEInRUV3FOw80W+eb12ei0ICH8j9+Q9ft4jYLWm9xAfPeX0XuwDMW8makjX8jT6belEKlTyCn
gopyEAY1ppyjoxWQdCFvjI18+J4gyjBUAUbZgwLLVdT+iBPnAQkQfLWlV5sAD2tHYEP2+alcX/YX
lOVCtvqR9d74qxDMMh34vVCYL74vqWHH3Ws58yqVnE2TKYtc6xwDnSE8iBqgF9ddL5QmSJzOjQ9t
ICuHL7SIqAD7ljHUj2Zt1BHPdYqAeyYbMWzEGDHKhNnNWuflz5nHeCOCupD1oqpKMQFiM1hqgcMW
gbz2egjGA1AGO18MT0KQe5EvcE42K8aBZu+0Cpg3tujJfhMIR6qiK6AlInk34GEA3QRw5EfBUQJM
AKMj1i0DnZPB5Eql1rNbZRXz6FB29Lsn6RIn3X0dnerYHYFkirw5Lz3GWlwDOSnwZFiAOaETSSi+
jSn2NnWT8tuY1x4mLzgpFVb4AeiCDxGU55JKeWyTEQsZPq7+4o3H+sa6TjTYJCYIgKsHnVofnH/7
h43VN3YmllpJKDYuKBETh0mG7Don8sA9VP8CGqoUAK0YI9zRzVyCxZInmXWJbxWmDHZYkIZGtpQc
QVeJ3bG6Ib5a8JpX0IAMID94iVQHs9X/jyuP8YI6U5q6b2N9WoVmgtLALDRAv1u8pukCMlPMPH0D
ouLsgCYWSGp9E8+cbALrJjQAqmSi+I7whU5aAJV9AtmYBuedEfpehCztTWZ9x6zX/r6ynOhGDp21
SMZRMqYGckQw7urrZQ+iY5kj4x9s529lCEvM1lObOf5ziwhJj9EhdyNP8WNHetZBCnWv2yrG0/Mg
qd3i175uzN1DIhyIMuBxwRzjudgCLaNT0kJsIQ12CEQDQ2qcWj+hTQdTbU+jEOzLU8llQF2EKHxK
CMyAfqHJCnVGgGotGaES4q0DwjJ39aV3zA0AwXmSm/vtpWCjTu4bd90VGf4ChQDQjwSPZMKA/eR2
bn5t+rnXHc1DcSO7iLKA0hakh9Zpr/iVRZZvPPta6lyFrRCm4oqv1W9JtG/0dvGou0agoLWjD1qE
JF9IB59JpDZkHMAWk+WQmJuhXYPd1p4TADLv7wKrme5MCjGLTVxgzrNkZBqkAEOyPiLwaewaleAf
UWNrnuiDpBiD/G8dcupi6PKVZDW5nsmn4zwzi9VehHzSumocNN/4FX7LTibaZwgEi3xEufi94ISh
nlvwZlVovwRdXuoAdY7zMGZlvLbfolIxoIQyJyhw8S3hD+Fm+AlIaVigaY8XuWgDitTFYmR2+Gs6
9Kkd28vl+yXscTaE4cvOPoI6/rrcAhGDbEh6XF3VU4PJUzFnBIjd3MG8rV166Y/hojrsi2VcxZCq
Ih9KyI+kT0kVwFVqJliBAX7/ptW9nfO6yngCKDszljhsswYCBuBUdaD6GAzF3deBvXIfOlCmNCRT
DFxeC6acmLYAgtVieBgWC6SyvFQa4x7YrpZJGcqg1kANGqFML1oznuNo6gfqbtf9VNqOY5Q8UZQ5
DA3WywRiPrBpwTY7vC0COJlSzv35D0JMA9ktNOTRAGwoKLbgUolzd6ouwvF7gsikV3kIAGwLMAzR
AqgcevgpDxovUmKpMSKTFTy24DU4oDHled8CWE9+0HmgMImxBAKBSFlZh0RU2FR4gBBwA8WfL3GV
uILkjfkVIJjhSSoMep0SAS2t3IIDaxG3sinzS5KSdE7iBZkIqHohCMk0HQBLx30Videnb82NFIsy
vd6M0AAlQ8Ow0Y+g+riehvW2zhWnUpHZiNXHfXHMe28rj7K/ROjMHLiuJICe3i9mMEv1mDe3BVC7
2JJT+cJxqTmxASv1v91HS6ZupSQzgD6O6nyH6EdHGFCM3gj3955c+97xomaWaSLBJqK1XBXRt0Yt
atemIFfusHVCXgbKGN4Y7eJzFpJ88qeNA6Yp4GveYztiPpuLFqW2tYhavPtHXwTJh01yDL09vChv
uZfcc99yTGvciKNOWwIwN9R6oRKAkiVfAes8EJ5d82F00sQhzzlUZ0On+8VLpLCWEjkblC0RjCMW
p06BqoMeAokGpDeq0THCya4b3pucpdpGBN3moAIVewQNFznkoiMlNhJfBwW4hI4MqKr+qfouIzXv
8EYDeVKpg7DqmNKWwNSJTAAusOUUJjkGEL9zrIT8L7SVbHWjDL+MQCgC1kEct6v2KB2Eu0p4R95U
vDJoe86FyTxmW2lUvgb4GphK1WAkVu8YNgk3Iq99ThfbCuagDnglNqYz2cojxrM5A6nZjVZJMpYq
sEUry5lmO3bbixw17RhDar+Bi8VP7fE2jvy+EVqLoGxFLwQebSC0Wo2rSgYetvZzf+OIWX/aNzRD
vffEoD2E2rfOlJqkifD2fc98YQp98hGw8leQ5UXQf2KR1gqIo4uyc5GXlVjgEi0vzRMCVEy7T5jh
b9FOmTu8/AzzcYAMuoxBALwIUTQ5X7q+BOFEBVIlYOg4IIEmZeDSjzzjDuwHx+IvkGQUAbgT0OsD
bhUnueEaDGvvgIYNHhXMZGIol3oDGXLcLMmE46At1yCgJy8vtXLgpx31AcC7yneiOP9VwhNLhRG5
VKkaqN3QP93fD7nhgWJutVpOtpTlKbe6UZ4yTVdEjxXsckjAt9JdgxiRl/1iRcR4XJMXPSJ7ia4Q
1IBBjN9HOXDeLjvxSnSUwkEiRjoYXnxdqU4rHobCEU785hy2dh+iqaMuRsWkCROOuqT3L1KHTveC
B6fNKkvg2tSA2IGyGBIItHlq1Ur6dMhFED/MIXoT4DePUWBd1dexZi8Hbj8kS6v3IBm2CKBiuqoT
gwhBHFNIBPXAS38pe9Vt5JF+IwWDr0iqlQ7vqcH00VuRlGdRBOAYCiShFx+7J9lrAkAGwV8ulyhO
cIcuWQaDw4ZVRR4N7MGUTS5VFsdRImXuAmLWBfwaIMJ1c5Dv6MXLvsNkr+TfkuhUGrhnOkMLccRG
xSkRk9f5cNyXwDrEQBsDxDN5bSCuO3dekbS07Uyso5mF09rjOS0eU8HeF8K2wY0UanvGPFrUZEDa
jAz9RJHfObEPFiYg1rv1XarZ8ekLVQ8NzhgVD5B9aqiQnes11bgYpgaUjWUc37fp+Gtsli/0IZzJ
oKLHch7BELRGGTg/n+UEPPMiZo6zr0T5W00o796gcr+IOlIdagDOGwegepGX4WbBQPFp4UJ9sCwO
aU0FNCOIaTAUcb5u1TR1y5Bp6JCHQvXwW17e9m2BZXBbAZTLKzFL1EuWnrlKkiJHJIg/tVFMA7B5
ff8zQZQF1Dp4XmRwjKF3E4mOEGA3OWiF5/bfZwUIziGK5wSi+NOrKCmKWBsG5FMqTXQr9MyPEciM
iod9ZRjbspXy7v824ZkiNdXcWjk43abG6avqII08OARiR1RwhigGvc/gJUNjNN0PUitNZnVlnLlq
3QjfQrmVf4MqMrbjSZBcKTWsi6JPeXVeVi7iTCp1hqLMBLloZyJjrNk6ctOg3r5OCzzFIm8GjBkA
YFCOAeOx9ob4jRspMozxTDp1tqy4Q66/gfQuNd6WZOkO+Tj0JzELecUXtiQNmOeA0EYhj3o8i5nW
pIC1BVe1bnlzU3tS2bzlzcKZ52V5Wmj0IYfy58IkNEC2TXN4i+kJpKvJoQlMV77Xgla3tSf5wAN8
egf//mw3HxIp374mBHg9ht20LpKwAAbPri3fsktAaCV3yFQfQDzhJImdP5sgewN4poXKXk0qwu76
O3/kRsOM2/lsBSgPplWl0GoGvqfzhBvtMgeBqVcDnkwI+mv0IAfaw/iYO7wXPSsCORNL+TV90pe0
I2JHvwTGb3h8ze3qoX0fpeIJ4xkT5dqAkWSOIKLGUTVFJwKMIQAXRl55lulyNpZEnUwpqgrZ7GBJ
yZJYdtwkYJOrvpDuPFs16gDK62CkyIYg/FivdJDTIrDixB7stQI5iCiiNQwO7vxCA2xM3ls5CT1a
rNcweXoY2oDt5LxT2Fb3IYY6BcmYauIoIPGhpq0D+nFfGlW7U36Ahp73XiHvqs8H7kMUZeBhkckA
+nkP6OVTdCjBiiU59UG7A+scOhXt3qkdNL6jJHWhCbbGuYl460nZuQbAWLCmqriJ0MUHTNEwBLle
lHn79x1PCvl9c98VaS4ruYlMQbce1Vw8FmhuWoc8+DMplIlHbTfXgpiBNbOI7TH7KfRonP4KpAhs
/GO/KBsHix3wRguEVBiKuEL/4psUTk/mmLr7yrDyRjpwxmWA0SJwA3/S+ZrNKzinh9VAOwWao3Pb
epEuSVJYQCY6k+2mf5/r5Ll/5kZthFJ2P6WZukQWDvBcmAepLy764s1sZ45uxKg+mfxGCmXyfdJ0
PXgBSQ9MfVGjxtejOrG/fDwR5PeNxSkpeMDLHnHcYlrlba4n412mlz1HCitZdLZJlGEPaV93NaGS
RyX3Mq3toUPG2bZ+NT/QhvI+t9LrcE+29bSU9vw7uf/Cw+jjA4ihUHqWUwQWUmxYAo4JdX4T5Zzj
cZmu8L+bBQnUqZpBZj1bBup+oyBZnjJnQa/MYLETwWSfC0jV7m8cTxx9vAZDb+YRCmXN5SxcWCXO
mV+JX3jsna0ble1KRmCqg4CU9JFmdtF3r2spXMypddjXhh3AoV9PMjDVgbcrtXp1mdexMaCUmTxJ
aGn5byZx8WU3PRU+7/yyzf5DHLV6ahNVliqHmWvmb0B39Kqi4Zg820N8SKAWru/jrksSARL0znQi
pT7IC6raoBf+yVk64ms+e4kPSVReJgTP26iaePGBpBCRKIg/gdGDM9Uc1YPgKpz35T/427/F0RWW
YWn1eu6xUwJwASAxdtr7EN3tumSH94ubA2As5oT3nLWkqXA6GTDgYDvOwaUiXqTSo9HogVi7nHXk
SKEL95jLKtCJhLyGdQ8yXhfDB1fJ1YB5sPpg3kvIqz12v9DcwZFKfPjO7tEzg1EDxu5iIvWi/6tm
Zr+ta1KPJiUC07B5vGBsv/H39tH8jCnm6eOqQjm/F6T7oX1s5/iqVQBiNv7e14xzxEyi+OZmaXVN
nZQaB0BBiGb9KOqOc8JYAoDEjMIs0jZIlpPfNwIWII2PRZdDk+4oDh0oileOhPexJ3pztiKIyWxF
GFK59AVEZE8iusuQQU4xHqCciu8oBXMOFmtjtrIoD2hUaiuNMR7lbZjepcvTAgRQEzl4sGVw1OIt
HOX8piXJQLQASX06eWghcYBRxfHnxOfsLRzl/eRBz+WsxsKlehus65VhPC7T776KkM9FXU9fTplZ
3/57g9suIOUH9bofWnVBjGFM/cUsGJatJAkvjni3qh3N6Ny0UkQC5vOI1aH7uons4XH9pTzX32LE
nLo7H5RD5aACZY+e7I5XYNjW8O8ajRC8L2FemRt96V7QouokozcRuqmYc0+89VeegHOq9xQHvcs3
ue5kIsdZEcPY053cRJvjYI2qqK4RdC/UzF+E1O9S1c7Wq9S4tFRObxPHSGnk6awLlyJMEXhY4ykO
SztdxD87BnQBE5NBoEcErbTbjaFTZJOtypxTwNOB8lCyMGnzgOPsirmZOmY3PZRC9rBv9RI5Sp83
BTETsF4wjEAj+a9hXrbo2cXLtLJnP7nrrjs86pxchrsSnNfVKTCS872/kzNnueAZIdtpfQhXKIuQ
yxZ006TZrXioxdwztRbolC9V3Pj7avIEUUspCfkQigu0TJfam8bLoQcRCLoF++QL15YkfmhEuXxt
TsB1CZJkF9zF9ly/Ze3zvibMAGorgXL0cttmvUoCKPE0YI7YS04z+itqxxxQFyLd9+VV8zx9AXwT
ELUfelFOHxydrbis0CuLq+xKb4vxIIAI3d1Xju0hPqRQfn8oTSsSGmzTWsleWsxOMd5hFu2iyB7H
/OnPZFH+vpTj1ShGyMpI0ins2ms5FJ0ymuFwRekRCHh/qB3dAywbg4ioBiFNXYN3EnyF0Ro5dagc
SlBA1lrMsXnWgMp2z+ihS10L+8rIdHgo0E6SlphgBuHl6qxefFFeT8fi/8GySQ7Sjjv5xBBdZqIG
3j2EPHlySNfUbmtecMA7Ae/d/5t7RI+6sOkWxKDm4/xqYqJuPqyt04fOexufI9r1lc5bTHJu9/Si
HMiQh0sTKdArySe/LjA6gO7trFSPf2SUNL1eL8Wz3IaktNIqAtiHwHiCkuOh60S0tGLnwpwjkOMY
6c7ZsG3iNMqxlqMJysL+KSwv21UGTB3HbbHtwtDQBw6SQuDfn3v6eOgVEbcM7GIBtXyl13abRnf7
i/cP8faHEGqTQFdrVLGAACPHeEt7E6O5X7UlZzmmJ17BhLlukqgQulPADtDNUpqYxP0gwgsjELaX
CKC2lldgVNDgcRVxBNFIFUZeRLKgwfGGdXFszN+9Gl+CTvOqyaW/9pfvs4mTOTmAs4CGXEP/CeXi
JaNAHVMD5WLX/8yQCu1B4NoIvMQT4/QSMcBWwCwVo7OmGhstr4uM4FYZr+Wl+D6LEXfoulLt8hoM
zaHL2yyGJzyXSRlGkzaxlhE2yfylPEqucZEcCEUSeSerrUtaVvnUEp/vsnOZVCQQKSJK6Qk4OYtG
d7VR6my8agZ7VBbFNmRzcEseMSJ7Az9WlpjSxi9W01zn7QCJCHUOtWaA7BHwxFxKRNZqotqN3igM
dJmgrKUMJVVA8AgQBAKeIvmqoxy63wQlYwCTUeuIh8pdDv9+hoQU2D9EUoGBKmelBAYz8FthRsGS
7qaKlw74fM7OJVDhgCItaT4Q4K8hxdy0WDvZio5frcbcQurvHzRGzH0mi04VLVnTrIKABRQueld7
DQOk3QLzKFeO9kycVu8NlwCvzvxM4HJCMXoHzoXTBY9Um1MT5HWueju66eiMN4QzzPBBpOn2F0Dd
B/3w6uSR3QYD50HDeHOey6ZegClGuIWIWI4aRAesLbyaO0Z2ldioLjp5Zi9AWeG801gOZ2s79NUj
qUtsxuihddNLsAKiGWi4mg9oj3etYDiSMXxedphxDiHQtMAZRQAU6EvcjBujz1sdYGtKYivqjzy6
MnVO5fTzfUpW8kMGddbBmIBbSRiApWUWTmqcjJCX5mGMrJ2LoI55Z8y5uDYg48nAWNBcL5hmHrxZ
tsfRHtE/rh9bL/vWX1exK5lINwJs2OcBRL83eJyHXeffQJ37fDKHBDjbgDHOlau1mG61tvupVeFR
icCMOEvyrbhOyFjIYezExvy8f1AZLvxskSmfUKGTsBEzSB/W8V5bzUMpRb6hDhejUR9nQXjcF8fo
hjjTloauR5tUEvYzeGDTY3iqwI+N/s/OnQgcZhvwu9dlctx2Vpeu8kfxbOltB68q3etBchgi5ON1
r7wkSP2SjVf5BeDzMR34IvoYTGgx/uok/hdAbc+1ppxCv85NW0cwZXnog8YS3cYyX9Iq86yWV7om
5rKnMBWFtlXarvlCUP3Mx6GygrhAk820ePNMOhxOwHqwOVtKOpT2JFKRBya35lCoGrS5X86XpMEl
OpbX6oE/RcxxOhr5fXP5q/IIpucGe1lqswvWRMcSvuU8zGfOgaDLbE21tLNEvM6ii8c2joKkAaJJ
/SYm3wVl5jlunnlSDihMxKFvShw/ghIH9le3mI7y98FfvcJNa3/h9kOzY4C/nSo9qwiqVDjz6f38
NZjDfgC/tCsB0PIZXbc5MLQBNTnd96A15kI/ctw5PdrUt1PTjQuJb0rTkZPxulqLYN8UObZPF96E
YTLCKFJBIygl7TchMpB7rcLOIfwcF+jHzV+LdNKuE4Dj8kqMHO3o1va8lvteJmbzTuY+lBj2w9gd
Oiz08mYC681yEB6i531131F1dk4ePTZj4IbMMgCsuNOtfiXk/ugDYagDzGDpZj8E5AqW/oTeusXX
EwDlp6cykHmgJxx70il3M2RlXYsWdhVDBLFHwDIKx/Km2c8XgK0sLgahnNKJr3IeAAJXecrtNHPS
yFmPo6NJiEA8/VQgujNdTCx3o9eVfo5coXhJhgoUxTYfCx97w0PJ5HgknfJIzZLHRSzEZCi3sfWp
cFSkTGQgV+5vNM+4qEhIWBsznnoYV9lptlrdrrzyMU8A5YaqpBaKegU3p6LIgtfLaXptVArP+fCk
UJHOArgtU12hhhWCOT1s7HL516mes3uWTllUc1ZWBomlpiQO1nzCwNp9O0WeOr7t7whn4+mURbiA
63ggWNFSNLgxDKDqjZtc0zgOjRcuGdRLpherxigiKNS77eX0ZFzMF3AptvI23YBviGNmHPdJF5Si
MDHDuMT+tML8guLqt26YXMsAqWc1eBkQAUCJ/GcxPl1hGspy0NYBHkzWL6QZ6Ojr7/2N+oe34N8X
Hk1RGsddLmLQG4cfLG8PqiPZ0i8LAEaTq/vWLYbTAP4uH/KAh3rJ3TrKN6AVMpkwy0tooeST5mMa
1Ql9+UVxCF4e7wXIs0fKQ1jZmDdTvyITo8IJhZbbSYCZF/7iLCbPQig/oeugqRZzePt4cKo3eHh/
CNSfClSrD8bj5Jsv4qVZ2X3ABwXmbiTlPQw16lOVRH9CbIsnCfTSwA81fmUBCOWBWO23p/ZWPOSO
dhwKTojLdFwWhrpUCaSNQJQ+Dzz1JbT0UoaVGtJsa8N1s0h/KIEyFs2sonSYW7Q7R+lNKIsPZchD
wWQb5EYLykbUIi5Sizz1qjc0h+Om7g/y/eB2KJKgIYnjudgPr400ylSGEdUES4/IhJomiM6Sxsmt
YbYryu55/xoaoYZRgDH62axmafd1ZB2VUTGv8rIZffAmCL4pKpajaoX4fUxWDKlWUeWNsjUc1DGW
L/WkBHdiHNepDYYUjNv1air6++bOOlQqUnKiYiAPYdD9ihjA7KaEBOeWQaQ8LNljOXFaMngyqGWy
1FaPtQnVkCbFlN2xqEs7mzmXFdlYOkzc6kGdnDgeBL1XoccaTodCzTW7m5TbIumuwkr79231irkV
RiUUeiNDWWeBQknyjBRCprw2Ogfji7NmdG4xr2sB0L4LopUUvJ054BT8AXDlnqaOFeeBxlk6uvds
KdayajsZ92+BvrrSzypA5C83mL3k2BrPxVB7pEoAETYzvMTkrrc7I7MlXuc8TwK1MbNqNugoghUY
egB0VTu17vaPC0cAjQFapuACDUuooBoT3uUmTmf6+u9F4DDiD1BwdOM9n7fJAJhaNEf9hPg6j0Wn
Gx7y9q99AcxbZiuBPNg3EoQktEZhHQHz7VuvyKS+zA/ATXNqLwntMreLB+Ispb/iE4+5hZk4VgwV
iG4WuB9EmrFgXdvRrMhLqvPCoHSli7VDm9RMaKYIYHtyz7sQWPuFIpWGtQREDbCLz1Vt2tjK4gGq
VtZzpD9UKa99iNHTDuZfDNhIGiE5NmXqVqsgPW5kSJhOXW53jVN0dj6gFyv3gY25LsDjmi6L2JPe
MIOmH/jpP2YdZ/sF5HxvtnPoZYsgWJLtFKuLdbQtpKvdKkBODB2RhH5XexN0Wz7w5hdZPgqOEPDZ
JtggMDx5LlhbZ1PpDB2WmtbO3GPMorkFZfYXwoatFLLFG/Xqvi7UuYF6Qv0A7CY7QhMu50CwPOBW
BLWHY1anUy8ismwBMqg/NU74LfFIYiM5ShjaTz35l/WNF84yTRM4P/irA5iWzqbUY6LNXYNzvk4m
uArG8GCOyRtHM+YWWSYB0TYNtIZRmkWm3hdjiXJY9pRcz67hL+iR+WZ5qp3/zK/H68IXvhfP+0LJ
mfp8FYP/RgKmtYwy9PmGJWY1VplpIqTQX0X9KqvAiR2JXqP+nHjzx6yNw9j+36Io2zA6TNBqhEZG
XFU3ihJ7EO8NMTAljttnLeNWDrWMsjbMnYZAyV2jAsgwzwrqagaS6vsLx7IIDOmJOiaQNbQ0Uw/h
Ns+MWU9wEVu4Gyc0coQlJ3fAjI83kQudPEjqSQ2rHHvTu6Pb3eGyB8IUaSWSXfmCVydkG8JHbEmN
/fZhpEZqBn3U4j4LZa9eDqH5qibf245H1M1TjE4iqOJQT6kCKhezlE8ioGSDZAkTZ7X+l7krWW4T
CcOvovJdigQCQVXiqmixYsdO5GUqM3NREYmBRkAjFrG8TWrOuc0b6MXma8nE0CLCETqEi0uA/73/
Xuj+/q7w0Vl3pfuBKhizsK0AbioSxAn2yWT36qqXjkLFG1wdd2QFQGt5gMj1sCaAJdrrDeKlP5Vv
BM2ZuBj/f1RH8lAZJhpOek4MgEXf1Bm8aupa8C6/0mDRMIsBMYCEjPEDwDnS1dRLguxDkjryVRQo
wdCXrWWGShWT4wrXeZprh7IrUtdnR8n93j8bao2cBLBb7o0lCGNPDsbHmVU3xpew4hpjT8VBVsWB
lpJ3Z8efSDjd/HpZ7ZL/Do5HpElkiqwltkXAahNjpJgP5uqk9g4Ewh4SWBfFB7hEGQGYJhANRImx
Bjy+iA1vdROVyoxS4MD5JY0cVVZUcJDS9nhNH8SeUeP5Og6cM4zAWksx22/RS+IvfWk9MXtR3Ynv
yk///YIarBsoDAEUVLsPkgGYoL4rHaISFCb2xvABkwjUzByH+JpZt4xbGdAFjux5gWMU902vv1JR
fMrC0hkAPBXndp7oTvvKS6SatF8ZzwVe3LQI3zId2k2h3Rq447Y1jB1lqNbunWLBdNArF7hwU6Ns
ECibhHVh1i3VJALkZAZL1Luff2b4yCg+fUpgYJaMAlRYUMcQp2xBbNUWV4LXR+jZ84+o3TyRzbqv
spWGK7DgwkLoe5vUYSXiY1u9z4RgKmFj/TCMxcfjCacyxgt8uGCwDNfc4GAsZi1m5k7bcjbAmE10
T5nxY5bSFbHXBFBmnIPm83jgY4GTLSoAEJ5YwyyRp4bZjAu/qO9htwlWlWAzwTeu+4Zy01v1rOE8
mdfwqRyZvWjD98fCICUD2cU579jf2FdhtOpeh6RryiiO5C0Nx/XT8XEnMfMcxHeBIdflzgPsG/F8
AnBykq3vrHmkDFH4B5/qlTi5lRJ7fhfETnKLzQnGtUc2IamZRFQGSYE/l8x9lGs2SBcDEFXyJpt+
+ln11T+Pq1jHgj0vJCWx663iSI0ABweQaXZii6JsTTMWXKvtyyuLiKwinilL48zK/jDnch2geGWz
LViKa7b9MJUsWwEP279PVtLQ6z0JLq0Jh+oBYYEL12jnALoNuhs0WmM9YjgwbDpnApXkujtmQCh0
0sxwXBJfq+kgCx20q3ZgXsVk/bexkb78IguArTEMDxk4tIDI5L/8Z5usu1qxk17UMP7B3tBZb416
I8d5HK4N7ZhguQQg39jlzW/KlxzFMNpsUz47RsygkW3vJqHj6C8HlfzY/loFva2/+aCiPu0+9t6U
SpEHl2/xe0G91CeGGXI/Lz97uvsY+roe3mneW/avP169LP/Efz5THmuhVvoxcUMSpveR7qcPehDZ
4fGnexlQLZ0RmlHihk/0gMSrXtrp9lNCLX0n11Pq6e8uFjRyQyafQah78fzoevnuQkTienNAaKfM
MQK2Bp2jJSgD7a8j7i52CMymrpE/kMSOgIquXaAS7P6w52BVMOPPtD+Qp8JCx98pya4tUd1yTILQ
J4uwqLwgsUWk16jPkSiqL3RUFCUF4g26iKL6otIBJDu+cKGA2f763dRH3TaGY91Qf7WDlUiGUo2y
n+zCMkLRDH2xowIaFu9gIyK79hb/naJAxXb0pmYQxI4kAthUVVgVY1y8GeQO0GIU1Dh+DgZk7N+r
MaCCMCK4WTCIHeC6CtAQCFC7i0sJcreDOAH6K6aX+fPXWuEVEfMja45MYi93SZXoQSEz176QZ5VD
AuWcWXqPpdg95ZeUe1nKGLukV3iYJ8Edm+d/f9bvkHOJV65UfvMD0X3NX5ioOMN6oWcpP2kOUvP7
ha8X0x0qk+c/971CScaC748StTWDakFOiPUhcDai+UW9dxcnEXa0jLoc5V1MNqU81Eyi5QIygfd5
vynZK30J29utqp4FB6MR+k05TAJv+90nIW09am5Ic4J7m6PMYn7jdG9OKdl+KztTADhtc8J3mq+5
5vbfktA4J34Ooe80WGTq0yCgrSVsE9m5vDvnAuIfo++mti8wyYntqWMwk9843e4zzd9+y8nsQxIl
4fIbjehq2+9fuWgXztE+Z7rvas7XaFF2KStP3VzuBwJX6q0bzdWJX2YwwGfO8zCYIiTBBCHzifph
KTUKA4WBbjQNGqbGCxc+MMHjDC2LpQKtNcLkwSdu2dEqPoA1V+IRrbY10yK77If9KKmphR513yBe
yfZYjGZnSJpSfqILWIa4pWyG2kGsjFtT2u8dzSu3VzZ2PkN7vYMLg9YU/Qgpy70fmjeVe0a0aPs9
15/lGSa3mN84Pc88UEjslKKPUT5HE6LucvufW+6wVazpohxxc7mRdzW37EkcLAda/xl8OdL5pM5A
OwBVXSd21cjvxzz5cDzILTL87AWMSBnhhQ2xLv8HAAD//w==</cx:binary>
              </cx:geoCache>
            </cx:geography>
          </cx:layoutPr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Estoque!A1"/><Relationship Id="rId2" Type="http://schemas.openxmlformats.org/officeDocument/2006/relationships/hyperlink" Target="#An&#225;lises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microsoft.com/office/2014/relationships/chartEx" Target="../charts/chartEx1.xml"/><Relationship Id="rId6" Type="http://schemas.openxmlformats.org/officeDocument/2006/relationships/hyperlink" Target="#Estoque!A1"/><Relationship Id="rId5" Type="http://schemas.openxmlformats.org/officeDocument/2006/relationships/hyperlink" Target="#Vendas!A1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An&#225;lises!A1"/><Relationship Id="rId1" Type="http://schemas.openxmlformats.org/officeDocument/2006/relationships/hyperlink" Target="#Venda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12808</xdr:colOff>
      <xdr:row>0</xdr:row>
      <xdr:rowOff>0</xdr:rowOff>
    </xdr:from>
    <xdr:to>
      <xdr:col>4</xdr:col>
      <xdr:colOff>460588</xdr:colOff>
      <xdr:row>5</xdr:row>
      <xdr:rowOff>8747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08" y="0"/>
          <a:ext cx="5634502" cy="950041"/>
        </a:xfrm>
        <a:prstGeom prst="rect">
          <a:avLst/>
        </a:prstGeom>
      </xdr:spPr>
    </xdr:pic>
    <xdr:clientData/>
  </xdr:twoCellAnchor>
  <xdr:twoCellAnchor>
    <xdr:from>
      <xdr:col>4</xdr:col>
      <xdr:colOff>832436</xdr:colOff>
      <xdr:row>0</xdr:row>
      <xdr:rowOff>38421</xdr:rowOff>
    </xdr:from>
    <xdr:to>
      <xdr:col>7</xdr:col>
      <xdr:colOff>640336</xdr:colOff>
      <xdr:row>1</xdr:row>
      <xdr:rowOff>96051</xdr:rowOff>
    </xdr:to>
    <xdr:sp macro="[0]!abrir_cadas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C9FCB35-CF8B-FC15-7075-524FD7B81DD9}"/>
            </a:ext>
          </a:extLst>
        </xdr:cNvPr>
        <xdr:cNvSpPr/>
      </xdr:nvSpPr>
      <xdr:spPr>
        <a:xfrm>
          <a:off x="6019158" y="38421"/>
          <a:ext cx="2004253" cy="256135"/>
        </a:xfrm>
        <a:prstGeom prst="roundRect">
          <a:avLst/>
        </a:prstGeom>
        <a:ln w="28575">
          <a:solidFill>
            <a:schemeClr val="accent4"/>
          </a:solidFill>
        </a:ln>
      </xdr:spPr>
      <xdr:style>
        <a:lnRef idx="2">
          <a:schemeClr val="accent1">
            <a:shade val="15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FORMULÁRIO</a:t>
          </a:r>
          <a:r>
            <a:rPr lang="pt-BR" sz="1100" baseline="0"/>
            <a:t> DE VENDAS</a:t>
          </a:r>
          <a:endParaRPr lang="pt-BR" sz="1100"/>
        </a:p>
      </xdr:txBody>
    </xdr:sp>
    <xdr:clientData/>
  </xdr:twoCellAnchor>
  <xdr:twoCellAnchor>
    <xdr:from>
      <xdr:col>4</xdr:col>
      <xdr:colOff>831155</xdr:colOff>
      <xdr:row>1</xdr:row>
      <xdr:rowOff>152401</xdr:rowOff>
    </xdr:from>
    <xdr:to>
      <xdr:col>7</xdr:col>
      <xdr:colOff>639055</xdr:colOff>
      <xdr:row>3</xdr:row>
      <xdr:rowOff>37142</xdr:rowOff>
    </xdr:to>
    <xdr:sp macro="[0]!abrir_cadastro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9F43180-1DD6-4E99-BB98-BD47E49D878A}"/>
            </a:ext>
          </a:extLst>
        </xdr:cNvPr>
        <xdr:cNvSpPr/>
      </xdr:nvSpPr>
      <xdr:spPr>
        <a:xfrm>
          <a:off x="6017877" y="350906"/>
          <a:ext cx="2004253" cy="256135"/>
        </a:xfrm>
        <a:prstGeom prst="roundRect">
          <a:avLst/>
        </a:prstGeom>
        <a:ln w="28575">
          <a:solidFill>
            <a:schemeClr val="accent4"/>
          </a:solidFill>
        </a:ln>
      </xdr:spPr>
      <xdr:style>
        <a:lnRef idx="2">
          <a:schemeClr val="accent1">
            <a:shade val="15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ACESSAR ANÁLISES</a:t>
          </a:r>
        </a:p>
      </xdr:txBody>
    </xdr:sp>
    <xdr:clientData/>
  </xdr:twoCellAnchor>
  <xdr:twoCellAnchor>
    <xdr:from>
      <xdr:col>4</xdr:col>
      <xdr:colOff>823472</xdr:colOff>
      <xdr:row>3</xdr:row>
      <xdr:rowOff>106297</xdr:rowOff>
    </xdr:from>
    <xdr:to>
      <xdr:col>7</xdr:col>
      <xdr:colOff>631372</xdr:colOff>
      <xdr:row>4</xdr:row>
      <xdr:rowOff>176735</xdr:rowOff>
    </xdr:to>
    <xdr:sp macro="[0]!abrir_cadastro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A6229F2-3A7F-47C4-80BB-4982575F0104}"/>
            </a:ext>
          </a:extLst>
        </xdr:cNvPr>
        <xdr:cNvSpPr/>
      </xdr:nvSpPr>
      <xdr:spPr>
        <a:xfrm>
          <a:off x="6010194" y="676196"/>
          <a:ext cx="2004253" cy="256135"/>
        </a:xfrm>
        <a:prstGeom prst="roundRect">
          <a:avLst/>
        </a:prstGeom>
        <a:ln w="28575">
          <a:solidFill>
            <a:schemeClr val="accent4"/>
          </a:solidFill>
        </a:ln>
      </xdr:spPr>
      <xdr:style>
        <a:lnRef idx="2">
          <a:schemeClr val="accent1">
            <a:shade val="15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ACESSAR ESTOQUE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217147</xdr:colOff>
      <xdr:row>1</xdr:row>
      <xdr:rowOff>3</xdr:rowOff>
    </xdr:from>
    <xdr:to>
      <xdr:col>11</xdr:col>
      <xdr:colOff>0</xdr:colOff>
      <xdr:row>14</xdr:row>
      <xdr:rowOff>128650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676292F3-A162-58E1-E57E-6E3FAB2ACB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53076" y="185060"/>
              <a:ext cx="3859553" cy="25398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5</xdr:col>
      <xdr:colOff>14842</xdr:colOff>
      <xdr:row>15</xdr:row>
      <xdr:rowOff>139534</xdr:rowOff>
    </xdr:from>
    <xdr:to>
      <xdr:col>11</xdr:col>
      <xdr:colOff>0</xdr:colOff>
      <xdr:row>27</xdr:row>
      <xdr:rowOff>90056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9064179-DDC4-2212-9F95-93B32C4AB6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291933</xdr:colOff>
      <xdr:row>1</xdr:row>
      <xdr:rowOff>13854</xdr:rowOff>
    </xdr:from>
    <xdr:to>
      <xdr:col>17</xdr:col>
      <xdr:colOff>643246</xdr:colOff>
      <xdr:row>14</xdr:row>
      <xdr:rowOff>128649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6750C4D-3ED2-077E-052C-358A94909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297872</xdr:colOff>
      <xdr:row>15</xdr:row>
      <xdr:rowOff>142501</xdr:rowOff>
    </xdr:from>
    <xdr:to>
      <xdr:col>17</xdr:col>
      <xdr:colOff>621475</xdr:colOff>
      <xdr:row>27</xdr:row>
      <xdr:rowOff>98962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3BC07E8-337E-0B89-BB59-CF47A71FCE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286987</xdr:colOff>
      <xdr:row>0</xdr:row>
      <xdr:rowOff>69272</xdr:rowOff>
    </xdr:from>
    <xdr:to>
      <xdr:col>16</xdr:col>
      <xdr:colOff>286987</xdr:colOff>
      <xdr:row>1</xdr:row>
      <xdr:rowOff>69273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5EC5F173-5DF3-47E3-8A5D-8709DC5871B5}"/>
            </a:ext>
          </a:extLst>
        </xdr:cNvPr>
        <xdr:cNvSpPr/>
      </xdr:nvSpPr>
      <xdr:spPr>
        <a:xfrm>
          <a:off x="9708078" y="69272"/>
          <a:ext cx="1959429" cy="188026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bg1"/>
              </a:solidFill>
            </a:rPr>
            <a:t>QUANTIDADE DE VENDAS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247404</xdr:colOff>
      <xdr:row>0</xdr:row>
      <xdr:rowOff>59376</xdr:rowOff>
    </xdr:from>
    <xdr:to>
      <xdr:col>9</xdr:col>
      <xdr:colOff>247404</xdr:colOff>
      <xdr:row>1</xdr:row>
      <xdr:rowOff>59377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9FF01604-3C40-472B-9BC2-BBC2F565199B}"/>
            </a:ext>
          </a:extLst>
        </xdr:cNvPr>
        <xdr:cNvSpPr/>
      </xdr:nvSpPr>
      <xdr:spPr>
        <a:xfrm>
          <a:off x="5512131" y="59376"/>
          <a:ext cx="1959429" cy="188026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bg1"/>
              </a:solidFill>
            </a:rPr>
            <a:t>MAPA DE VENDAS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174172</xdr:colOff>
      <xdr:row>14</xdr:row>
      <xdr:rowOff>152400</xdr:rowOff>
    </xdr:from>
    <xdr:to>
      <xdr:col>9</xdr:col>
      <xdr:colOff>174174</xdr:colOff>
      <xdr:row>15</xdr:row>
      <xdr:rowOff>152401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DD492D63-0CBE-44D0-B692-7572FD081DEB}"/>
            </a:ext>
          </a:extLst>
        </xdr:cNvPr>
        <xdr:cNvSpPr/>
      </xdr:nvSpPr>
      <xdr:spPr>
        <a:xfrm>
          <a:off x="5497286" y="2743200"/>
          <a:ext cx="1959430" cy="185059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chemeClr val="bg1"/>
              </a:solidFill>
            </a:rPr>
            <a:t>FATURAMENTO</a:t>
          </a:r>
          <a:r>
            <a:rPr lang="pt-BR" sz="1050" b="1" baseline="0">
              <a:solidFill>
                <a:schemeClr val="bg1"/>
              </a:solidFill>
            </a:rPr>
            <a:t> POR PRODUTO</a:t>
          </a:r>
          <a:endParaRPr lang="pt-BR" sz="105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250373</xdr:colOff>
      <xdr:row>14</xdr:row>
      <xdr:rowOff>171205</xdr:rowOff>
    </xdr:from>
    <xdr:to>
      <xdr:col>16</xdr:col>
      <xdr:colOff>250373</xdr:colOff>
      <xdr:row>15</xdr:row>
      <xdr:rowOff>171201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A1870EB9-4FBC-49AC-A8DA-E34D36F54035}"/>
            </a:ext>
          </a:extLst>
        </xdr:cNvPr>
        <xdr:cNvSpPr/>
      </xdr:nvSpPr>
      <xdr:spPr>
        <a:xfrm>
          <a:off x="9742715" y="2762005"/>
          <a:ext cx="1959430" cy="185054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baseline="0">
              <a:solidFill>
                <a:schemeClr val="bg1"/>
              </a:solidFill>
            </a:rPr>
            <a:t>FATURAMENTO POR VENDEDOR</a:t>
          </a:r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601276</xdr:colOff>
      <xdr:row>17</xdr:row>
      <xdr:rowOff>141515</xdr:rowOff>
    </xdr:from>
    <xdr:to>
      <xdr:col>21</xdr:col>
      <xdr:colOff>32658</xdr:colOff>
      <xdr:row>20</xdr:row>
      <xdr:rowOff>141515</xdr:rowOff>
    </xdr:to>
    <xdr:sp macro="[0]!abrir_cadastro" textlink="">
      <xdr:nvSpPr>
        <xdr:cNvPr id="16" name="Retângulo: Cantos Arredondados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05FD3C6-2CF5-40B8-97C2-CFB1B1961C51}"/>
            </a:ext>
          </a:extLst>
        </xdr:cNvPr>
        <xdr:cNvSpPr/>
      </xdr:nvSpPr>
      <xdr:spPr>
        <a:xfrm>
          <a:off x="13359334" y="3309257"/>
          <a:ext cx="2305210" cy="555172"/>
        </a:xfrm>
        <a:prstGeom prst="roundRect">
          <a:avLst/>
        </a:prstGeom>
        <a:ln w="28575">
          <a:solidFill>
            <a:schemeClr val="accent4"/>
          </a:solidFill>
        </a:ln>
      </xdr:spPr>
      <xdr:style>
        <a:lnRef idx="2">
          <a:schemeClr val="accent1">
            <a:shade val="15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ACESSAR</a:t>
          </a:r>
          <a:r>
            <a:rPr lang="pt-BR" sz="1100" baseline="0"/>
            <a:t> VENDAS</a:t>
          </a:r>
          <a:endParaRPr lang="pt-BR" sz="1100"/>
        </a:p>
      </xdr:txBody>
    </xdr:sp>
    <xdr:clientData/>
  </xdr:twoCellAnchor>
  <xdr:twoCellAnchor>
    <xdr:from>
      <xdr:col>18</xdr:col>
      <xdr:colOff>598715</xdr:colOff>
      <xdr:row>21</xdr:row>
      <xdr:rowOff>39060</xdr:rowOff>
    </xdr:from>
    <xdr:to>
      <xdr:col>21</xdr:col>
      <xdr:colOff>30097</xdr:colOff>
      <xdr:row>24</xdr:row>
      <xdr:rowOff>39062</xdr:rowOff>
    </xdr:to>
    <xdr:sp macro="[0]!abrir_cadastro" textlink="">
      <xdr:nvSpPr>
        <xdr:cNvPr id="18" name="Retângulo: Cantos Arredondados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E620E10-3700-4C74-80F6-A85E5704EE38}"/>
            </a:ext>
          </a:extLst>
        </xdr:cNvPr>
        <xdr:cNvSpPr/>
      </xdr:nvSpPr>
      <xdr:spPr>
        <a:xfrm>
          <a:off x="13356773" y="3947032"/>
          <a:ext cx="2305210" cy="555172"/>
        </a:xfrm>
        <a:prstGeom prst="roundRect">
          <a:avLst/>
        </a:prstGeom>
        <a:ln w="28575">
          <a:solidFill>
            <a:schemeClr val="accent4"/>
          </a:solidFill>
        </a:ln>
      </xdr:spPr>
      <xdr:style>
        <a:lnRef idx="2">
          <a:schemeClr val="accent1">
            <a:shade val="15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ACESSAR ESTOQUE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2561</xdr:colOff>
      <xdr:row>2</xdr:row>
      <xdr:rowOff>125186</xdr:rowOff>
    </xdr:from>
    <xdr:to>
      <xdr:col>12</xdr:col>
      <xdr:colOff>8966</xdr:colOff>
      <xdr:row>4</xdr:row>
      <xdr:rowOff>11206</xdr:rowOff>
    </xdr:to>
    <xdr:sp macro="[0]!abrir_cadastro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E6C418-9136-4822-B513-FDCD7D0EFB07}"/>
            </a:ext>
          </a:extLst>
        </xdr:cNvPr>
        <xdr:cNvSpPr/>
      </xdr:nvSpPr>
      <xdr:spPr>
        <a:xfrm>
          <a:off x="7519147" y="495300"/>
          <a:ext cx="1965833" cy="256135"/>
        </a:xfrm>
        <a:prstGeom prst="roundRect">
          <a:avLst/>
        </a:prstGeom>
        <a:ln w="28575">
          <a:solidFill>
            <a:schemeClr val="accent4"/>
          </a:solidFill>
        </a:ln>
      </xdr:spPr>
      <xdr:style>
        <a:lnRef idx="2">
          <a:schemeClr val="accent1">
            <a:shade val="15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ACESSAR </a:t>
          </a:r>
          <a:r>
            <a:rPr lang="pt-BR" sz="1100" baseline="0"/>
            <a:t>VENDAS</a:t>
          </a:r>
          <a:endParaRPr lang="pt-BR" sz="1100"/>
        </a:p>
      </xdr:txBody>
    </xdr:sp>
    <xdr:clientData/>
  </xdr:twoCellAnchor>
  <xdr:twoCellAnchor>
    <xdr:from>
      <xdr:col>9</xdr:col>
      <xdr:colOff>12166</xdr:colOff>
      <xdr:row>5</xdr:row>
      <xdr:rowOff>13128</xdr:rowOff>
    </xdr:from>
    <xdr:to>
      <xdr:col>12</xdr:col>
      <xdr:colOff>18571</xdr:colOff>
      <xdr:row>6</xdr:row>
      <xdr:rowOff>84206</xdr:rowOff>
    </xdr:to>
    <xdr:sp macro="[0]!abrir_cadastro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7A94E81-DF2A-4465-B376-EFEABDE1D004}"/>
            </a:ext>
          </a:extLst>
        </xdr:cNvPr>
        <xdr:cNvSpPr/>
      </xdr:nvSpPr>
      <xdr:spPr>
        <a:xfrm>
          <a:off x="7528752" y="938414"/>
          <a:ext cx="1965833" cy="256135"/>
        </a:xfrm>
        <a:prstGeom prst="roundRect">
          <a:avLst/>
        </a:prstGeom>
        <a:ln w="28575">
          <a:solidFill>
            <a:schemeClr val="accent4"/>
          </a:solidFill>
        </a:ln>
      </xdr:spPr>
      <xdr:style>
        <a:lnRef idx="2">
          <a:schemeClr val="accent1">
            <a:shade val="15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ACESSAR ANÁLISES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H23"/>
  <sheetViews>
    <sheetView showGridLines="0" zoomScale="85" zoomScaleNormal="85" workbookViewId="0"/>
  </sheetViews>
  <sheetFormatPr defaultRowHeight="14.6" x14ac:dyDescent="0.4"/>
  <cols>
    <col min="2" max="2" width="28.69140625" style="9" customWidth="1"/>
    <col min="3" max="3" width="19.15234375" style="9" customWidth="1"/>
    <col min="4" max="4" width="16.15234375" style="9" customWidth="1"/>
    <col min="5" max="5" width="12.61328125" style="10" bestFit="1" customWidth="1"/>
  </cols>
  <sheetData>
    <row r="1" spans="1:8" ht="15.9" x14ac:dyDescent="0.45">
      <c r="A1" s="2"/>
      <c r="B1" s="4"/>
      <c r="C1" s="4"/>
      <c r="D1" s="4"/>
      <c r="E1" s="5"/>
      <c r="F1" s="1"/>
      <c r="G1" s="1"/>
      <c r="H1" s="1"/>
    </row>
    <row r="2" spans="1:8" x14ac:dyDescent="0.4">
      <c r="A2" s="1"/>
      <c r="B2" s="4"/>
      <c r="C2" s="4"/>
      <c r="D2" s="4"/>
      <c r="E2" s="5"/>
      <c r="F2" s="1"/>
      <c r="G2" s="1"/>
      <c r="H2" s="1"/>
    </row>
    <row r="3" spans="1:8" x14ac:dyDescent="0.4">
      <c r="A3" s="1"/>
      <c r="B3" s="4"/>
      <c r="C3" s="4"/>
      <c r="D3" s="4"/>
      <c r="E3" s="5"/>
      <c r="F3" s="1"/>
      <c r="G3" s="1"/>
      <c r="H3" s="1"/>
    </row>
    <row r="4" spans="1:8" x14ac:dyDescent="0.4">
      <c r="A4" s="1"/>
      <c r="B4" s="4"/>
      <c r="C4" s="4"/>
      <c r="D4" s="4"/>
      <c r="E4" s="5"/>
      <c r="F4" s="1"/>
      <c r="G4" s="1"/>
      <c r="H4" s="1"/>
    </row>
    <row r="5" spans="1:8" x14ac:dyDescent="0.4">
      <c r="A5" s="1"/>
      <c r="B5" s="4"/>
      <c r="C5" s="4"/>
      <c r="D5" s="4"/>
      <c r="E5" s="5"/>
      <c r="F5" s="1"/>
      <c r="G5" s="1"/>
      <c r="H5" s="1"/>
    </row>
    <row r="7" spans="1:8" x14ac:dyDescent="0.4">
      <c r="B7" s="6" t="s">
        <v>0</v>
      </c>
      <c r="C7" s="7" t="s">
        <v>1</v>
      </c>
      <c r="D7" s="7" t="s">
        <v>3</v>
      </c>
      <c r="E7" s="8" t="s">
        <v>2</v>
      </c>
    </row>
    <row r="8" spans="1:8" x14ac:dyDescent="0.4">
      <c r="B8" s="9" t="s">
        <v>15</v>
      </c>
      <c r="C8" s="9" t="s">
        <v>4</v>
      </c>
      <c r="D8" s="9" t="s">
        <v>5</v>
      </c>
      <c r="E8" s="10">
        <v>1500</v>
      </c>
    </row>
    <row r="9" spans="1:8" x14ac:dyDescent="0.4">
      <c r="B9" s="9" t="s">
        <v>16</v>
      </c>
      <c r="C9" s="9" t="s">
        <v>6</v>
      </c>
      <c r="D9" s="9" t="s">
        <v>5</v>
      </c>
      <c r="E9" s="10">
        <v>2300</v>
      </c>
    </row>
    <row r="10" spans="1:8" x14ac:dyDescent="0.4">
      <c r="B10" s="9" t="s">
        <v>17</v>
      </c>
      <c r="C10" s="9" t="s">
        <v>7</v>
      </c>
      <c r="D10" s="9" t="s">
        <v>8</v>
      </c>
      <c r="E10" s="10">
        <v>5000</v>
      </c>
    </row>
    <row r="11" spans="1:8" x14ac:dyDescent="0.4">
      <c r="B11" s="9" t="s">
        <v>18</v>
      </c>
      <c r="C11" s="9" t="s">
        <v>6</v>
      </c>
      <c r="D11" s="9" t="s">
        <v>5</v>
      </c>
      <c r="E11" s="10">
        <v>2400</v>
      </c>
    </row>
    <row r="12" spans="1:8" x14ac:dyDescent="0.4">
      <c r="B12" s="9" t="s">
        <v>19</v>
      </c>
      <c r="C12" s="9" t="s">
        <v>9</v>
      </c>
      <c r="D12" s="9" t="s">
        <v>8</v>
      </c>
      <c r="E12" s="10">
        <v>4000</v>
      </c>
    </row>
    <row r="13" spans="1:8" x14ac:dyDescent="0.4">
      <c r="B13" s="9" t="s">
        <v>18</v>
      </c>
      <c r="C13" s="9" t="s">
        <v>9</v>
      </c>
      <c r="D13" s="9" t="s">
        <v>14</v>
      </c>
      <c r="E13" s="10">
        <v>7000</v>
      </c>
    </row>
    <row r="14" spans="1:8" x14ac:dyDescent="0.4">
      <c r="B14" s="9" t="s">
        <v>15</v>
      </c>
      <c r="C14" s="9" t="s">
        <v>4</v>
      </c>
      <c r="D14" s="9" t="s">
        <v>13</v>
      </c>
      <c r="E14" s="10">
        <v>3200</v>
      </c>
    </row>
    <row r="15" spans="1:8" x14ac:dyDescent="0.4">
      <c r="B15" s="9" t="s">
        <v>16</v>
      </c>
      <c r="C15" s="9" t="s">
        <v>9</v>
      </c>
      <c r="D15" s="9" t="s">
        <v>13</v>
      </c>
      <c r="E15" s="10">
        <v>10000</v>
      </c>
    </row>
    <row r="16" spans="1:8" x14ac:dyDescent="0.4">
      <c r="B16" s="9" t="s">
        <v>18</v>
      </c>
      <c r="C16" s="9" t="s">
        <v>7</v>
      </c>
      <c r="D16" s="9" t="s">
        <v>14</v>
      </c>
      <c r="E16" s="10">
        <v>3800</v>
      </c>
    </row>
    <row r="17" spans="2:5" x14ac:dyDescent="0.4">
      <c r="B17" s="9" t="s">
        <v>17</v>
      </c>
      <c r="C17" s="9" t="s">
        <v>4</v>
      </c>
      <c r="D17" s="9" t="s">
        <v>8</v>
      </c>
      <c r="E17" s="10">
        <v>4000</v>
      </c>
    </row>
    <row r="18" spans="2:5" x14ac:dyDescent="0.4">
      <c r="B18" s="9" t="s">
        <v>17</v>
      </c>
      <c r="C18" s="9" t="s">
        <v>4</v>
      </c>
      <c r="D18" s="9" t="s">
        <v>5</v>
      </c>
      <c r="E18" s="10">
        <v>6000</v>
      </c>
    </row>
    <row r="19" spans="2:5" x14ac:dyDescent="0.4">
      <c r="B19" s="9" t="s">
        <v>19</v>
      </c>
      <c r="C19" s="9" t="s">
        <v>4</v>
      </c>
      <c r="D19" s="9" t="s">
        <v>14</v>
      </c>
      <c r="E19" s="10">
        <v>4600</v>
      </c>
    </row>
    <row r="20" spans="2:5" x14ac:dyDescent="0.4">
      <c r="B20" s="9" t="s">
        <v>16</v>
      </c>
      <c r="C20" s="9" t="s">
        <v>9</v>
      </c>
      <c r="D20" s="9" t="s">
        <v>13</v>
      </c>
      <c r="E20" s="10">
        <v>8800</v>
      </c>
    </row>
    <row r="21" spans="2:5" x14ac:dyDescent="0.4">
      <c r="B21" s="9" t="s">
        <v>17</v>
      </c>
      <c r="C21" s="9" t="s">
        <v>9</v>
      </c>
      <c r="D21" s="9" t="s">
        <v>5</v>
      </c>
      <c r="E21" s="10">
        <v>5700</v>
      </c>
    </row>
    <row r="22" spans="2:5" x14ac:dyDescent="0.4">
      <c r="B22" s="9" t="s">
        <v>18</v>
      </c>
      <c r="C22" s="9" t="s">
        <v>6</v>
      </c>
      <c r="D22" s="9" t="s">
        <v>8</v>
      </c>
      <c r="E22" s="10">
        <v>6000</v>
      </c>
    </row>
    <row r="23" spans="2:5" x14ac:dyDescent="0.4">
      <c r="B23" s="9" t="s">
        <v>16</v>
      </c>
      <c r="C23" s="9" t="s">
        <v>9</v>
      </c>
      <c r="D23" s="9" t="s">
        <v>13</v>
      </c>
      <c r="E23" s="10">
        <v>12000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967F7-21AD-4CCE-A257-AED405082B2D}">
  <dimension ref="B3:U23"/>
  <sheetViews>
    <sheetView showGridLines="0" tabSelected="1" zoomScale="50" zoomScaleNormal="50" workbookViewId="0"/>
  </sheetViews>
  <sheetFormatPr defaultRowHeight="14.6" x14ac:dyDescent="0.4"/>
  <cols>
    <col min="1" max="1" width="3" customWidth="1"/>
    <col min="2" max="2" width="26.4609375" bestFit="1" customWidth="1"/>
    <col min="3" max="3" width="13.3046875" style="10" bestFit="1" customWidth="1"/>
    <col min="4" max="4" width="19.921875" bestFit="1" customWidth="1"/>
    <col min="5" max="5" width="3.07421875" customWidth="1"/>
    <col min="11" max="11" width="8.3828125" customWidth="1"/>
    <col min="12" max="12" width="4.23046875" customWidth="1"/>
    <col min="20" max="20" width="17.921875" bestFit="1" customWidth="1"/>
    <col min="21" max="21" width="13.3046875" bestFit="1" customWidth="1"/>
  </cols>
  <sheetData>
    <row r="3" spans="2:21" x14ac:dyDescent="0.4">
      <c r="B3" s="13" t="s">
        <v>10</v>
      </c>
      <c r="C3" s="14">
        <f>SUM(Vendas!E:E)</f>
        <v>86300</v>
      </c>
    </row>
    <row r="4" spans="2:21" x14ac:dyDescent="0.4">
      <c r="B4" s="13" t="s">
        <v>11</v>
      </c>
      <c r="C4" s="14">
        <f>MEDIAN(Vendas!E:E)</f>
        <v>4800</v>
      </c>
    </row>
    <row r="5" spans="2:21" x14ac:dyDescent="0.4">
      <c r="T5" s="16"/>
    </row>
    <row r="6" spans="2:21" x14ac:dyDescent="0.4">
      <c r="B6" s="25" t="s">
        <v>12</v>
      </c>
      <c r="C6" s="25"/>
      <c r="D6" s="15" t="s">
        <v>22</v>
      </c>
      <c r="T6" s="26" t="s">
        <v>31</v>
      </c>
      <c r="U6" s="26"/>
    </row>
    <row r="7" spans="2:21" x14ac:dyDescent="0.4">
      <c r="B7" s="13" t="s">
        <v>13</v>
      </c>
      <c r="C7" s="14">
        <f ca="1">SUMIF(Vendas!D:E,Análises!B7,Vendas!E:E)</f>
        <v>34000</v>
      </c>
      <c r="D7" s="12">
        <f>COUNTIF(Vendas!D:E,Análises!B7)</f>
        <v>4</v>
      </c>
      <c r="T7" s="16"/>
    </row>
    <row r="8" spans="2:21" x14ac:dyDescent="0.4">
      <c r="B8" s="13" t="s">
        <v>5</v>
      </c>
      <c r="C8" s="14">
        <f ca="1">SUMIF(Vendas!D:E,Análises!B8,Vendas!E:E)</f>
        <v>17900</v>
      </c>
      <c r="D8" s="12">
        <f>COUNTIF(Vendas!D:E,Análises!B8)</f>
        <v>5</v>
      </c>
      <c r="T8" s="23" t="s">
        <v>32</v>
      </c>
      <c r="U8" s="24">
        <f>Estoque!D8</f>
        <v>78300</v>
      </c>
    </row>
    <row r="9" spans="2:21" x14ac:dyDescent="0.4">
      <c r="B9" s="13" t="s">
        <v>14</v>
      </c>
      <c r="C9" s="14">
        <f ca="1">SUMIF(Vendas!D:E,Análises!B9,Vendas!E:E)</f>
        <v>15400</v>
      </c>
      <c r="D9" s="12">
        <f>COUNTIF(Vendas!D:E,Análises!B9)</f>
        <v>3</v>
      </c>
      <c r="T9" s="16"/>
    </row>
    <row r="10" spans="2:21" x14ac:dyDescent="0.4">
      <c r="B10" s="13" t="s">
        <v>8</v>
      </c>
      <c r="C10" s="14">
        <f ca="1">SUMIF(Vendas!D:E,Análises!B10,Vendas!E:E)</f>
        <v>19000</v>
      </c>
      <c r="D10" s="12">
        <f>COUNTIF(Vendas!D:E,Análises!B10)</f>
        <v>4</v>
      </c>
      <c r="T10" s="23" t="s">
        <v>33</v>
      </c>
      <c r="U10" s="24">
        <f>C3</f>
        <v>86300</v>
      </c>
    </row>
    <row r="11" spans="2:21" x14ac:dyDescent="0.4">
      <c r="T11" s="16"/>
    </row>
    <row r="12" spans="2:21" x14ac:dyDescent="0.4">
      <c r="B12" s="25" t="s">
        <v>20</v>
      </c>
      <c r="C12" s="25"/>
      <c r="D12" s="15" t="s">
        <v>23</v>
      </c>
      <c r="T12" s="23" t="s">
        <v>30</v>
      </c>
      <c r="U12" s="24">
        <f>U10-U8</f>
        <v>8000</v>
      </c>
    </row>
    <row r="13" spans="2:21" ht="15" thickBot="1" x14ac:dyDescent="0.45">
      <c r="B13" s="13" t="s">
        <v>6</v>
      </c>
      <c r="C13" s="14">
        <f ca="1">SUMIF(Vendas!C:E,Análises!B13,Vendas!E:E)</f>
        <v>10700</v>
      </c>
      <c r="D13" s="12">
        <f>COUNTIF(Vendas!C:E,Análises!B13)</f>
        <v>3</v>
      </c>
      <c r="T13" s="16"/>
    </row>
    <row r="14" spans="2:21" x14ac:dyDescent="0.4">
      <c r="B14" s="13" t="s">
        <v>9</v>
      </c>
      <c r="C14" s="14">
        <f ca="1">SUMIF(Vendas!C:E,Análises!B14,Vendas!E:E)</f>
        <v>47500</v>
      </c>
      <c r="D14" s="12">
        <f>COUNTIF(Vendas!C:E,Análises!B14)</f>
        <v>6</v>
      </c>
      <c r="S14" t="s">
        <v>34</v>
      </c>
      <c r="T14" s="27" t="str">
        <f>IF(U12&gt;=0,"LUCRO","PREJUÍZO")</f>
        <v>LUCRO</v>
      </c>
      <c r="U14" s="28"/>
    </row>
    <row r="15" spans="2:21" ht="15" thickBot="1" x14ac:dyDescent="0.45">
      <c r="B15" s="13" t="s">
        <v>4</v>
      </c>
      <c r="C15" s="14">
        <f ca="1">SUMIF(Vendas!C:E,Análises!B15,Vendas!E:E)</f>
        <v>19300</v>
      </c>
      <c r="D15" s="12">
        <f>COUNTIF(Vendas!C:E,Análises!B15)</f>
        <v>5</v>
      </c>
      <c r="T15" s="29"/>
      <c r="U15" s="30"/>
    </row>
    <row r="16" spans="2:21" x14ac:dyDescent="0.4">
      <c r="B16" s="13" t="s">
        <v>7</v>
      </c>
      <c r="C16" s="14">
        <f ca="1">SUMIF(Vendas!C:E,Análises!B16,Vendas!E:E)</f>
        <v>8800</v>
      </c>
      <c r="D16" s="12">
        <f>COUNTIF(Vendas!C:E,Análises!B16)</f>
        <v>2</v>
      </c>
    </row>
    <row r="18" spans="2:15" x14ac:dyDescent="0.4">
      <c r="B18" s="25" t="s">
        <v>21</v>
      </c>
      <c r="C18" s="25"/>
      <c r="D18" s="15" t="s">
        <v>22</v>
      </c>
    </row>
    <row r="19" spans="2:15" x14ac:dyDescent="0.4">
      <c r="B19" s="13" t="s">
        <v>15</v>
      </c>
      <c r="C19" s="14">
        <f ca="1">SUMIF(Vendas!B:E,Análises!B19,Vendas!E:E)</f>
        <v>4700</v>
      </c>
      <c r="D19" s="12">
        <f>COUNTIF(Vendas!B:E,Análises!B19)</f>
        <v>2</v>
      </c>
      <c r="O19" s="17"/>
    </row>
    <row r="20" spans="2:15" x14ac:dyDescent="0.4">
      <c r="B20" s="13" t="s">
        <v>16</v>
      </c>
      <c r="C20" s="14">
        <f ca="1">SUMIF(Vendas!B:E,Análises!B20,Vendas!E:E)</f>
        <v>33100</v>
      </c>
      <c r="D20" s="12">
        <f>COUNTIF(Vendas!B:E,Análises!B20)</f>
        <v>4</v>
      </c>
    </row>
    <row r="21" spans="2:15" x14ac:dyDescent="0.4">
      <c r="B21" s="13" t="s">
        <v>17</v>
      </c>
      <c r="C21" s="14">
        <f ca="1">SUMIF(Vendas!B:E,Análises!B21,Vendas!E:E)</f>
        <v>20700</v>
      </c>
      <c r="D21" s="12">
        <f>COUNTIF(Vendas!B:E,Análises!B21)</f>
        <v>4</v>
      </c>
    </row>
    <row r="22" spans="2:15" x14ac:dyDescent="0.4">
      <c r="B22" s="13" t="s">
        <v>18</v>
      </c>
      <c r="C22" s="14">
        <f ca="1">SUMIF(Vendas!B:E,Análises!B22,Vendas!E:E)</f>
        <v>19200</v>
      </c>
      <c r="D22" s="12">
        <f>COUNTIF(Vendas!B:E,Análises!B22)</f>
        <v>4</v>
      </c>
    </row>
    <row r="23" spans="2:15" x14ac:dyDescent="0.4">
      <c r="B23" s="13" t="s">
        <v>19</v>
      </c>
      <c r="C23" s="14">
        <f ca="1">SUMIF(Vendas!B:E,Análises!B23,Vendas!E:E)</f>
        <v>8600</v>
      </c>
      <c r="D23" s="12">
        <f>COUNTIF(Vendas!B:E,Análises!B23)</f>
        <v>2</v>
      </c>
    </row>
  </sheetData>
  <mergeCells count="5">
    <mergeCell ref="B6:C6"/>
    <mergeCell ref="B12:C12"/>
    <mergeCell ref="B18:C18"/>
    <mergeCell ref="T6:U6"/>
    <mergeCell ref="T14:U15"/>
  </mergeCells>
  <conditionalFormatting sqref="U12">
    <cfRule type="cellIs" dxfId="7" priority="4" operator="lessThan">
      <formula>0</formula>
    </cfRule>
    <cfRule type="cellIs" dxfId="6" priority="3" operator="greaterThan">
      <formula>0</formula>
    </cfRule>
  </conditionalFormatting>
  <conditionalFormatting sqref="T14:U15">
    <cfRule type="containsText" dxfId="5" priority="2" operator="containsText" text="PREJUÍZO">
      <formula>NOT(ISERROR(SEARCH("PREJUÍZO",T14)))</formula>
    </cfRule>
    <cfRule type="containsText" dxfId="4" priority="1" operator="containsText" text="LUCRO">
      <formula>NOT(ISERROR(SEARCH("LUCRO",T14)))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EADA4-923D-4A0E-B124-9A5F1061EB2A}">
  <dimension ref="A1:H9"/>
  <sheetViews>
    <sheetView showGridLines="0" workbookViewId="0">
      <selection activeCell="D4" sqref="D4"/>
    </sheetView>
  </sheetViews>
  <sheetFormatPr defaultRowHeight="14.6" x14ac:dyDescent="0.4"/>
  <cols>
    <col min="1" max="1" width="11.23046875" bestFit="1" customWidth="1"/>
    <col min="2" max="2" width="11.61328125" style="3" bestFit="1" customWidth="1"/>
    <col min="3" max="3" width="20.921875" bestFit="1" customWidth="1"/>
    <col min="4" max="4" width="12.61328125" bestFit="1" customWidth="1"/>
    <col min="5" max="5" width="3.84375" customWidth="1"/>
    <col min="7" max="7" width="12.3046875" bestFit="1" customWidth="1"/>
    <col min="8" max="8" width="15.23046875" customWidth="1"/>
  </cols>
  <sheetData>
    <row r="1" spans="1:8" x14ac:dyDescent="0.4">
      <c r="A1" s="26" t="s">
        <v>24</v>
      </c>
      <c r="B1" s="26"/>
      <c r="C1" s="26"/>
      <c r="D1" s="26"/>
      <c r="E1" s="26"/>
      <c r="F1" s="26"/>
      <c r="G1" s="26"/>
      <c r="H1" s="26"/>
    </row>
    <row r="2" spans="1:8" x14ac:dyDescent="0.4">
      <c r="A2" s="26"/>
      <c r="B2" s="26"/>
      <c r="C2" s="26"/>
      <c r="D2" s="26"/>
      <c r="E2" s="26"/>
      <c r="F2" s="26"/>
      <c r="G2" s="26"/>
      <c r="H2" s="26"/>
    </row>
    <row r="3" spans="1:8" x14ac:dyDescent="0.4">
      <c r="B3" s="19" t="s">
        <v>25</v>
      </c>
      <c r="C3" s="18" t="s">
        <v>35</v>
      </c>
      <c r="D3" s="18" t="s">
        <v>26</v>
      </c>
      <c r="E3" s="18"/>
      <c r="F3" s="18" t="s">
        <v>27</v>
      </c>
      <c r="G3" s="18" t="s">
        <v>28</v>
      </c>
      <c r="H3" s="18" t="s">
        <v>29</v>
      </c>
    </row>
    <row r="4" spans="1:8" x14ac:dyDescent="0.4">
      <c r="A4" s="16" t="str">
        <f>Análises!B13</f>
        <v>Computador</v>
      </c>
      <c r="B4" s="20">
        <v>1200</v>
      </c>
      <c r="C4" s="11">
        <v>4</v>
      </c>
      <c r="D4" s="21">
        <f>C4*B4</f>
        <v>4800</v>
      </c>
      <c r="F4" s="11">
        <f>Análises!D13</f>
        <v>3</v>
      </c>
      <c r="G4" s="11">
        <f>C4-F4</f>
        <v>1</v>
      </c>
      <c r="H4" s="12" t="str">
        <f>IF(G4&lt;=2,"REPOR ESTOQUE","OK")</f>
        <v>REPOR ESTOQUE</v>
      </c>
    </row>
    <row r="5" spans="1:8" x14ac:dyDescent="0.4">
      <c r="A5" s="16" t="str">
        <f>Análises!B14</f>
        <v>iPhone</v>
      </c>
      <c r="B5" s="20">
        <v>2000</v>
      </c>
      <c r="C5" s="11">
        <v>20</v>
      </c>
      <c r="D5" s="21">
        <f t="shared" ref="D5:D7" si="0">C5*B5</f>
        <v>40000</v>
      </c>
      <c r="F5" s="11">
        <f>Análises!D14</f>
        <v>6</v>
      </c>
      <c r="G5" s="11">
        <f t="shared" ref="G5:G7" si="1">C5-F5</f>
        <v>14</v>
      </c>
      <c r="H5" s="12" t="str">
        <f t="shared" ref="H5:H7" si="2">IF(G5&lt;=2,"REPOR ESTOQUE","OK")</f>
        <v>OK</v>
      </c>
    </row>
    <row r="6" spans="1:8" x14ac:dyDescent="0.4">
      <c r="A6" s="16" t="str">
        <f>Análises!B15</f>
        <v>Android</v>
      </c>
      <c r="B6" s="20">
        <v>1100</v>
      </c>
      <c r="C6" s="11">
        <v>15</v>
      </c>
      <c r="D6" s="21">
        <f t="shared" si="0"/>
        <v>16500</v>
      </c>
      <c r="F6" s="11">
        <f>Análises!D15</f>
        <v>5</v>
      </c>
      <c r="G6" s="11">
        <f t="shared" si="1"/>
        <v>10</v>
      </c>
      <c r="H6" s="12" t="str">
        <f t="shared" si="2"/>
        <v>OK</v>
      </c>
    </row>
    <row r="7" spans="1:8" x14ac:dyDescent="0.4">
      <c r="A7" s="16" t="str">
        <f>Análises!B16</f>
        <v>I7 Gamer</v>
      </c>
      <c r="B7" s="20">
        <v>1700</v>
      </c>
      <c r="C7" s="11">
        <v>10</v>
      </c>
      <c r="D7" s="21">
        <f t="shared" si="0"/>
        <v>17000</v>
      </c>
      <c r="F7" s="11">
        <f>Análises!D16</f>
        <v>2</v>
      </c>
      <c r="G7" s="11">
        <f t="shared" si="1"/>
        <v>8</v>
      </c>
      <c r="H7" s="12" t="str">
        <f t="shared" si="2"/>
        <v>OK</v>
      </c>
    </row>
    <row r="8" spans="1:8" x14ac:dyDescent="0.4">
      <c r="C8" s="18" t="s">
        <v>30</v>
      </c>
      <c r="D8" s="22">
        <f>SUM(D4:D7)</f>
        <v>78300</v>
      </c>
    </row>
    <row r="9" spans="1:8" x14ac:dyDescent="0.4">
      <c r="C9" s="18"/>
    </row>
  </sheetData>
  <mergeCells count="1">
    <mergeCell ref="A1:H2"/>
  </mergeCells>
  <conditionalFormatting sqref="H4:H7">
    <cfRule type="containsText" dxfId="3" priority="4" operator="containsText" text="REPOR ESTOQUE">
      <formula>NOT(ISERROR(SEARCH("REPOR ESTOQUE",H4)))</formula>
    </cfRule>
  </conditionalFormatting>
  <conditionalFormatting sqref="H6">
    <cfRule type="containsText" dxfId="2" priority="3" operator="containsText" text="OK">
      <formula>NOT(ISERROR(SEARCH("OK",H6)))</formula>
    </cfRule>
  </conditionalFormatting>
  <conditionalFormatting sqref="H5">
    <cfRule type="containsText" dxfId="1" priority="2" operator="containsText" text="OK">
      <formula>NOT(ISERROR(SEARCH("OK",H5)))</formula>
    </cfRule>
  </conditionalFormatting>
  <conditionalFormatting sqref="H7">
    <cfRule type="containsText" dxfId="0" priority="1" operator="containsText" text="OK">
      <formula>NOT(ISERROR(SEARCH("OK",H7)))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Vendas</vt:lpstr>
      <vt:lpstr>Análises</vt:lpstr>
      <vt:lpstr>Estoque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Wagner</dc:creator>
  <cp:lastModifiedBy>Fábio Vilela</cp:lastModifiedBy>
  <dcterms:created xsi:type="dcterms:W3CDTF">2022-10-06T16:26:33Z</dcterms:created>
  <dcterms:modified xsi:type="dcterms:W3CDTF">2024-04-22T16:25:02Z</dcterms:modified>
</cp:coreProperties>
</file>