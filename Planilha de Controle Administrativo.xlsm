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ábio\Desktop\"/>
    </mc:Choice>
  </mc:AlternateContent>
  <xr:revisionPtr revIDLastSave="0" documentId="13_ncr:1_{B5FDF55C-7C6B-44D1-AA14-B6F9A882D4C9}" xr6:coauthVersionLast="47" xr6:coauthVersionMax="47" xr10:uidLastSave="{00000000-0000-0000-0000-000000000000}"/>
  <bookViews>
    <workbookView xWindow="-103" yWindow="-103" windowWidth="16663" windowHeight="8863" activeTab="2" xr2:uid="{00000000-000D-0000-FFFF-FFFF00000000}"/>
  </bookViews>
  <sheets>
    <sheet name="Vendas" sheetId="1" r:id="rId1"/>
    <sheet name="Análises" sheetId="2" r:id="rId2"/>
    <sheet name="Estoque" sheetId="3" r:id="rId3"/>
  </sheets>
  <definedNames>
    <definedName name="_xlchart.v5.0" hidden="1">Análises!$B$6</definedName>
    <definedName name="_xlchart.v5.1" hidden="1">Análises!$B$7:$B$10</definedName>
    <definedName name="_xlchart.v5.2" hidden="1">Análises!$D$7:$D$10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" i="2" l="1"/>
  <c r="T14" i="2"/>
  <c r="U8" i="2"/>
  <c r="D5" i="3"/>
  <c r="D6" i="3"/>
  <c r="D7" i="3"/>
  <c r="D4" i="3"/>
  <c r="D8" i="3" s="1"/>
  <c r="A5" i="3"/>
  <c r="A6" i="3"/>
  <c r="A7" i="3"/>
  <c r="A4" i="3"/>
  <c r="D20" i="2"/>
  <c r="D21" i="2"/>
  <c r="D22" i="2"/>
  <c r="D23" i="2"/>
  <c r="D19" i="2"/>
  <c r="D14" i="2"/>
  <c r="F5" i="3" s="1"/>
  <c r="G5" i="3" s="1"/>
  <c r="H5" i="3" s="1"/>
  <c r="D15" i="2"/>
  <c r="F6" i="3" s="1"/>
  <c r="G6" i="3" s="1"/>
  <c r="H6" i="3" s="1"/>
  <c r="D16" i="2"/>
  <c r="F7" i="3" s="1"/>
  <c r="G7" i="3" s="1"/>
  <c r="H7" i="3" s="1"/>
  <c r="D13" i="2"/>
  <c r="F4" i="3" s="1"/>
  <c r="G4" i="3" s="1"/>
  <c r="H4" i="3" s="1"/>
  <c r="D8" i="2"/>
  <c r="D9" i="2"/>
  <c r="D10" i="2"/>
  <c r="D7" i="2"/>
  <c r="C20" i="2"/>
  <c r="C21" i="2"/>
  <c r="C22" i="2"/>
  <c r="C23" i="2"/>
  <c r="C19" i="2"/>
  <c r="C14" i="2"/>
  <c r="C15" i="2"/>
  <c r="C16" i="2"/>
  <c r="C13" i="2"/>
  <c r="C8" i="2"/>
  <c r="C9" i="2"/>
  <c r="C10" i="2"/>
  <c r="C7" i="2"/>
  <c r="C3" i="2"/>
  <c r="U10" i="2" s="1"/>
  <c r="U12" i="2" s="1"/>
</calcChain>
</file>

<file path=xl/sharedStrings.xml><?xml version="1.0" encoding="utf-8"?>
<sst xmlns="http://schemas.openxmlformats.org/spreadsheetml/2006/main" count="86" uniqueCount="36">
  <si>
    <t>VENDEDOR(A)</t>
  </si>
  <si>
    <t>PRODUTO</t>
  </si>
  <si>
    <t>PREÇO</t>
  </si>
  <si>
    <t>ESTADO</t>
  </si>
  <si>
    <t>Android</t>
  </si>
  <si>
    <t>Minas Gerais</t>
  </si>
  <si>
    <t>Computador</t>
  </si>
  <si>
    <t>I7 Gamer</t>
  </si>
  <si>
    <t>Amazonas</t>
  </si>
  <si>
    <t>iPhone</t>
  </si>
  <si>
    <t>Faturamento Total:</t>
  </si>
  <si>
    <t>Média de Faturamento:</t>
  </si>
  <si>
    <t>Faturamento Regional:</t>
  </si>
  <si>
    <t>São Paulo</t>
  </si>
  <si>
    <t>Bahia</t>
  </si>
  <si>
    <t>Michelangelo</t>
  </si>
  <si>
    <t>Donatello</t>
  </si>
  <si>
    <t>Leonardo</t>
  </si>
  <si>
    <t>Rafael</t>
  </si>
  <si>
    <t>Sebastião</t>
  </si>
  <si>
    <t>Faturamento por Produto:</t>
  </si>
  <si>
    <t>Faturamento por Vendedor(a):</t>
  </si>
  <si>
    <t xml:space="preserve">Quantidade de vendas </t>
  </si>
  <si>
    <t>Unidades Vendidas</t>
  </si>
  <si>
    <t>Estoques e Custos</t>
  </si>
  <si>
    <t>Custo</t>
  </si>
  <si>
    <t>Total</t>
  </si>
  <si>
    <t>Vendas</t>
  </si>
  <si>
    <t>Atual Estoque</t>
  </si>
  <si>
    <t>Situação</t>
  </si>
  <si>
    <t>Total:</t>
  </si>
  <si>
    <t>Controle Financeiro</t>
  </si>
  <si>
    <t>Custos:</t>
  </si>
  <si>
    <t>Atual Faturamento:</t>
  </si>
  <si>
    <t xml:space="preserve"> </t>
  </si>
  <si>
    <t>Compras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</si>
</sst>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9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31">
    <xf numFmtId="0" fontId="0" fillId="0" borderId="0" xfId="0"/>
    <xf numFmtId="0" fontId="0" fillId="2" borderId="0" xfId="0" applyFill="1"/>
    <xf numFmtId="0" fontId="2" fillId="2" borderId="0" xfId="0" applyFont="1" applyFill="1"/>
    <xf numFmtId="44" fontId="0" fillId="0" borderId="0" xfId="1" applyFont="1"/>
    <xf numFmtId="0" fontId="0" fillId="2" borderId="0" xfId="0" applyFill="1" applyAlignment="1">
      <alignment horizontal="center" vertical="center"/>
    </xf>
    <xf numFmtId="44" fontId="0" fillId="2" borderId="0" xfId="1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44" fontId="1" fillId="2" borderId="0" xfId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4" fontId="0" fillId="0" borderId="0" xfId="1" applyFont="1" applyAlignment="1">
      <alignment horizontal="center" vertical="center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44" fontId="4" fillId="0" borderId="3" xfId="1" applyFont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4" fillId="0" borderId="0" xfId="0" applyFont="1" applyAlignment="1">
      <alignment horizontal="center" vertical="center"/>
    </xf>
    <xf numFmtId="44" fontId="4" fillId="0" borderId="0" xfId="1" applyFont="1" applyAlignment="1">
      <alignment horizontal="center" vertical="center"/>
    </xf>
    <xf numFmtId="44" fontId="0" fillId="0" borderId="3" xfId="1" applyFont="1" applyBorder="1"/>
    <xf numFmtId="44" fontId="0" fillId="0" borderId="3" xfId="0" applyNumberFormat="1" applyBorder="1"/>
    <xf numFmtId="44" fontId="4" fillId="0" borderId="0" xfId="0" applyNumberFormat="1" applyFont="1" applyAlignment="1">
      <alignment horizontal="center" vertical="center"/>
    </xf>
    <xf numFmtId="0" fontId="1" fillId="2" borderId="3" xfId="0" applyFont="1" applyFill="1" applyBorder="1"/>
    <xf numFmtId="44" fontId="4" fillId="0" borderId="3" xfId="0" applyNumberFormat="1" applyFont="1" applyBorder="1"/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665653397534178E-2"/>
          <c:y val="4.6375566044340295E-2"/>
          <c:w val="0.92879362537291599"/>
          <c:h val="0.8460078216133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Análises!$B$13:$B$16</c:f>
              <c:strCache>
                <c:ptCount val="4"/>
                <c:pt idx="0">
                  <c:v>Computador</c:v>
                </c:pt>
                <c:pt idx="1">
                  <c:v>iPhone</c:v>
                </c:pt>
                <c:pt idx="2">
                  <c:v>Android</c:v>
                </c:pt>
                <c:pt idx="3">
                  <c:v>I7 Gamer</c:v>
                </c:pt>
              </c:strCache>
            </c:strRef>
          </c:cat>
          <c:val>
            <c:numRef>
              <c:f>Análises!$C$13:$C$16</c:f>
              <c:numCache>
                <c:formatCode>_("R$"* #,##0.00_);_("R$"* \(#,##0.00\);_("R$"* "-"??_);_(@_)</c:formatCode>
                <c:ptCount val="4"/>
                <c:pt idx="0">
                  <c:v>10700</c:v>
                </c:pt>
                <c:pt idx="1">
                  <c:v>47500</c:v>
                </c:pt>
                <c:pt idx="2">
                  <c:v>19300</c:v>
                </c:pt>
                <c:pt idx="3">
                  <c:v>8800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43-48D8-A5B1-A9E9543300C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147552000"/>
        <c:axId val="1147551040"/>
      </c:barChart>
      <c:catAx>
        <c:axId val="1147552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7551040"/>
        <c:crosses val="autoZero"/>
        <c:auto val="1"/>
        <c:lblAlgn val="ctr"/>
        <c:lblOffset val="100"/>
        <c:noMultiLvlLbl val="0"/>
      </c:catAx>
      <c:valAx>
        <c:axId val="1147551040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14755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5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3-445F-9035-6272CE375400}"/>
              </c:ext>
            </c:extLst>
          </c:dPt>
          <c:dPt>
            <c:idx val="1"/>
            <c:bubble3D val="0"/>
            <c:spPr>
              <a:solidFill>
                <a:schemeClr val="accent5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3-445F-9035-6272CE375400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3-445F-9035-6272CE375400}"/>
              </c:ext>
            </c:extLst>
          </c:dPt>
          <c:dPt>
            <c:idx val="3"/>
            <c:bubble3D val="0"/>
            <c:spPr>
              <a:solidFill>
                <a:schemeClr val="accent5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3-445F-9035-6272CE375400}"/>
              </c:ext>
            </c:extLst>
          </c:dPt>
          <c:dPt>
            <c:idx val="4"/>
            <c:bubble3D val="0"/>
            <c:spPr>
              <a:solidFill>
                <a:schemeClr val="accent5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3-445F-9035-6272CE37540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(Análises!$B$19,Análises!$B$20,Análises!$B$21,Análises!$B$22,Análises!$B$23)</c:f>
              <c:strCache>
                <c:ptCount val="5"/>
                <c:pt idx="0">
                  <c:v>Michelangelo</c:v>
                </c:pt>
                <c:pt idx="1">
                  <c:v>Donatello</c:v>
                </c:pt>
                <c:pt idx="2">
                  <c:v>Leonardo</c:v>
                </c:pt>
                <c:pt idx="3">
                  <c:v>Rafael</c:v>
                </c:pt>
                <c:pt idx="4">
                  <c:v>Sebastião</c:v>
                </c:pt>
              </c:strCache>
            </c:strRef>
          </c:cat>
          <c:val>
            <c:numRef>
              <c:f>(Análises!$D$19,Análises!$D$20,Análises!$D$21,Análises!$D$22,Análises!$D$23)</c:f>
              <c:numCache>
                <c:formatCode>General</c:formatCode>
                <c:ptCount val="5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06-4CFE-839A-90CCFE80C29D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Análises!$B$19:$B$23</c:f>
              <c:strCache>
                <c:ptCount val="5"/>
                <c:pt idx="0">
                  <c:v>Michelangelo</c:v>
                </c:pt>
                <c:pt idx="1">
                  <c:v>Donatello</c:v>
                </c:pt>
                <c:pt idx="2">
                  <c:v>Leonardo</c:v>
                </c:pt>
                <c:pt idx="3">
                  <c:v>Rafael</c:v>
                </c:pt>
                <c:pt idx="4">
                  <c:v>Sebastião</c:v>
                </c:pt>
              </c:strCache>
            </c:strRef>
          </c:cat>
          <c:val>
            <c:numRef>
              <c:f>Análises!$C$19:$C$23</c:f>
              <c:numCache>
                <c:formatCode>_("R$"* #,##0.00_);_("R$"* \(#,##0.00\);_("R$"* "-"??_);_(@_)</c:formatCode>
                <c:ptCount val="5"/>
                <c:pt idx="0">
                  <c:v>4700</c:v>
                </c:pt>
                <c:pt idx="1">
                  <c:v>33100</c:v>
                </c:pt>
                <c:pt idx="2">
                  <c:v>20700</c:v>
                </c:pt>
                <c:pt idx="3">
                  <c:v>19200</c:v>
                </c:pt>
                <c:pt idx="4">
                  <c:v>8600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C1-4717-9BA8-A867F94BD82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72204383"/>
        <c:axId val="72207263"/>
      </c:barChart>
      <c:catAx>
        <c:axId val="722043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207263"/>
        <c:crosses val="autoZero"/>
        <c:auto val="1"/>
        <c:lblAlgn val="ctr"/>
        <c:lblOffset val="100"/>
        <c:noMultiLvlLbl val="0"/>
      </c:catAx>
      <c:valAx>
        <c:axId val="72207263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722043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_xlchart.v5.2</cx:f>
      </cx:numDim>
    </cx:data>
  </cx:chartData>
  <cx:chart>
    <cx:plotArea>
      <cx:plotAreaRegion>
        <cx:series layoutId="regionMap" uniqueId="{00000002-B6F2-4587-81FE-6118AE223D55}">
          <cx:tx>
            <cx:txData>
              <cx:f>_xlchart.v5.2</cx:f>
              <cx:v>4 5 3 4</cx:v>
            </cx:txData>
          </cx:tx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000" b="1">
                    <a:solidFill>
                      <a:sysClr val="windowText" lastClr="000000"/>
                    </a:solidFill>
                  </a:defRPr>
                </a:pPr>
                <a:endParaRPr lang="pt-BR" sz="1000" b="1" i="0" u="none" strike="noStrike" baseline="0">
                  <a:solidFill>
                    <a:sysClr val="windowText" lastClr="000000"/>
                  </a:solidFill>
                  <a:latin typeface="Calibri" panose="020F0502020204030204"/>
                </a:endParaRPr>
              </a:p>
            </cx:txPr>
            <cx:visibility seriesName="0" categoryName="0" value="1"/>
          </cx:dataLabels>
          <cx:dataId val="0"/>
          <cx:layoutPr>
            <cx:geography cultureLanguage="pt-BR" cultureRegion="BR" attribution="Da plataforma Bing">
              <cx:geoCache provider="{E9337A44-BEBE-4D9F-B70C-5C5E7DAFC167}">
                <cx:binary>1HvZctxIluWvyPQ8UMJ3R1llmZUDCEQEGdwlUnqBUSQFOHbA4dh+Z57nK/rH5oaWTDLEVFR195hN
80ESheX63c9d8PeH6W8PxdN992Yqi8r87WH6/W3a983ffvvNPKRP5b15V+qHrjb1l/7dQ13+Vn/5
oh+efnvs7kddJb9hF9HfHtL7rn+a3v7j7/C25Kk+rR/ue11Xl/apm6+ejC1684trr156c/9Y6irQ
pu/0Q49+f3v9H/+7fnNxb4v67Zunqtf9fDM3T7+/fXHf2ze/Hb7tJ8pvCjhcbx/hWQeTd4wQj3tS
ul9/0Ns3RV0lP65T/o5jKbl0vW8/8gfxs/sSXvCvHerrke4fH7snY4Cvr3+/fPYFE3Dp4u2bh9pW
/V58CUjy97equze6ePtGm9r/dsWv9yyoq688//ZS8v/4+8F/gBQO/ueZcg5FduzST7r5Z3m/1NW9
+SGc/wbNkHcIYwxCR98U4+KXmuHuOzA9jpEg326A69/M4ptm/pUjva6XP5880Mo/d/+ztLLToJI3
0VN3r/87NYO8dx6SnIL4X/cZ8s4jjMM93zVDXmrmXz3W69p5+fSBhnbR/ywNqftU3/+Qzn+D0yD8
zhPYc13ivfQWIt8xF2HiCfE9kP2g+s1bjh7kdWV8f+xAC+qf/39r4S8i6/Ok8uKWfzepIPcd+fpz
GLMYeYe/uozgr8asHzH+r0/yF2r4nhtenPr/dcr463TyR8YN7vv78GuqfpZRfn31K4MAIQ4e/VXG
/yatzePvb4ngHgSbPyDA/iUvksKFvrf/8X9+mP6zR57uTQ9wgILmhMtdD0tCqcCcv30zPn27xN+5
WCBXYCKBDCOAFKq669M9ingnKCWQrDAEPiTd/WOmtl+vgTHA21zmMXA9iqTH/oBJF3UxJ3X1h0C+
//6msuVFrave/P6Wvn3TfLtrf1hOPYQkpkCJYkkRoQBHmof7K0BicDP6X8wKVxaTm6l2WhQfG7VM
H58J5BUKECieU+CY4z0YwgziO7CCDihkhvA25UmuaJSsbdSvSeRE2dasf00GuYj9mhJ2X/Jims7x
eEWpMjXW1UaMS3eRakOWoMG9uyaoGhY/7TN6RgcjQ6PdpgsMbeWNFnl748wxf8/xZEsVV4U5s7OL
C4Vl6xQrJ7fxuRWmeewrw3Z9vCxwlwAIrOa8yrZd4kl4az7dVFhn4by0lVlVzThQheNZtyDaOV5Z
2ybvk2pu31eIeY8k9pokwGgyWvVVQnuVT+mihiqHI5AGaRTpJXaFKmctB+WYMTWqSBdx2rG206pd
yrlUfYbNjjVxccpZl4Q6i1nmd4Yu9VpM4+iqZjK1DGph+YlJ85iGE2HyI1zRt5nnpI4/M9K8H4fM
uWUSTxeobrFfzEWSB3OKyKTQMHgnLS+8VGVJVmzRYEviz3T2btiYFouam8I7KYoi9IZ+aiNeTrJV
qPP0TR93VR9VjJpzU9Q4aNwORbgjC1N17ObdqurI0K2XeihY2Ll1JlXjaZP7rMBu7TtDGn9Y3DRf
VO/MSRv0LOVPzjKmn1IQjQxcPLEvbj2Xs5+mbrwyQ5cx323rRJGkSc7p1GZhm3rxStOF7JYxbrZu
H+cRKtsI5eiKN2j8gHMxp2qYzKTKYazUUmVdmHZVsaIki7dkSpobJ2uLq06LMZJixtHYmuvKieOI
TOhqLly6GrMYL6HIrXcqyFxnyox4uur7sUNBZQXYS9U2tg7yXHZ3WU+ya69AbaGETtGp5+osksO4
3MWuHDce44OfpX3shF1PyEnlZGPQjcMyKSMzF/n1QjUPBpDuFiCt3C3e0t2hzLBPA+Lp2pM43to6
60PTx8mdHuP+UcuuvOFFRT7aRQ+enyz1dEMJ6WrVCEFOLUq0VYPT8zqoSS+3DDvVeVGjqVIpz/NR
CRrnRMl4xEx1U5s81jmFp/tSzzGYMW4j2Q0yGmnHhWownKibdEyUrWra+FUh0caUMrMbPPVEB7gS
dkMd6uXKNVZGLujCb1HteMoUHASYNzi775Z+XNUSPIsZUp51MzFrNLbFe22W6sxJeBaB/U6pL52u
CR1vmKhfWCnWMpbWFyWX5jRrkq4CInTp/EzL7HZCafwpc+P4mtV63BSdcdZOpe39ROZFtW6tHdWZ
urC+g2J9nWSxOyietR32aenEd9J0aFEOrgkCedDkwp3d/IRI3srASbQbFR6iqwwt7lUzLPl5S2z5
vsmH5WzRLI+Akj4d50FcMu20uwHj/KFcmH3M43a5SKtluMjS/JOl9M5LCzVRhlWWVrNaNqitLrPF
3ZGyb9e0NPGsUqdcVpPbjLdjbtOPWKZsURp7bThPRJxVpXDP597jmdKT1SflWFBPecSLvRPN0gTC
pQuZa73gZrgaYtMYhYUYA8+z/IO1RTmrPULEKu5jFpYTNalibunWqnTnhqvJYHrN26H8UPdzvcYt
8e4Gt2j1ajBJIVRbL61WTjVV4AFjn55XkrR2V5VshjBTp/qmIp69ljMea39OdeGc2I7l60z37nw2
UUTPRlPrgLAEfZQiHa6HSbvrtCzLVC0o7++L0m0/liO2qjUibzZgw8YnTlpEGRu+VENdjWpstQjH
pp02C5mbPkTeMuHzgYCPBk638MLv2wRsDhO2GJU13XSSYkZuczQ1U9hWSXXZtnHO101usog3gg1+
UYlOTRM2F7m2ziZLl/aLl2diilxSZGfadLNRdunyy6lDtF63ZUNLZUvWnFM9dteTw1KtEut01i9K
6n7IsdOvs8SmfRCjRJ4TB4OjFumI18WyOCigNSX32WzjWuUzyU5tw3UoBWtvvSKZbg3vu1M64ji0
Q5qf5AIkqMwsC+knccdrpT1Z+Jrziit4SESjLNqzqW2dOzFpcjqLYTwfGjOFwixl6fPWa2/ncZ7v
WOWAh/fthZeYsvH7HottPmRJxKsyTlRv2/xkhBwXjrrJz+Yc9TcZasoHMbsNUyme5KNceDyqKuZs
hVgXJXWabegos6hfbDMHCR6ai4kvVdh5gl00shpaZRvH2xStgGTHUgme4qT93Vwl7XVK50+We/Zx
zHpIF86cdddxMiV+LRjl26GSThPlfZFF8TCn/pDq/rScHXwumtg5aRfUpmHZmPqiMGh437cLOVtY
LDxF47j3HS+5lw4RYmXacZnXzeAVu24oyiysqqV8X8x2mX1dF0UZuFMtQ0TtuOPOmG0qQnqu4rrG
J66Y8ymsWQuhk4CLLzErN/mQywAhXaRqrJrmY6zj4gEVmXPZTtJE3B28h6p0ATKg0lS7JbNsUhTj
VmHX5l9Ao/HKMbL+yEvinDGbAGTLuBlXeuH4sx2a3vVTTESjsnrCHyGNxyemQd1N30h00Wra5iov
aHOiUUdOe09UWZg6DllXji1POqkhy8+ul4J6MVcOWtY9TXXEEUr8qsvwKavEdMlpVz6WdW/PbebY
HeeAZD4UNHXPu9xm3Uo2nav4NIHiDM3aRLXcaZ9YVskPdeIx5aTd/AESBVlUIQc7K0uaPEq9pKxC
7hTN+5KlZvbrWdadqkvNSn9ipXtltRimIHM98YnOQ3XdkKaOQ17GZGUniM46ns2ZGIe6X1nZ9Aq1
Sfdomql66jkj29hbqhVm0GcIJocsdeACUCKq7Nl0nSzVdJt1mfveS2WTXLPBbVLVOW19ljhVfbN4
XXc9inLY9KNBVqXevHMTavNQNk1/1w+aaQirUAOo2E7FrXBLiHtpJ5rVSHUZyXIed662yQfjlWxb
l9J5zO3sXVQ6FycJbZrAbe0nyPrOtZAiv6lnYbvV0LDic5/gug0GPi8byBPel16M1sfUZCuLGrtG
JUHGXxaegfhZHY6L0BeWWHc9Ybe/8mYx3VHU2e1QWmEVeJ5OVZvNVARdnSTKc2x+ytN+kiH4kARk
m9C58/PSGe8Rt+TJ7RKIM3UqICyPsblc3KVIfFPHMg/EhNndMM1mPcxDd4bzBfVKzCa/5Mm45D4l
Y+pBZPbmXsV0JD54WPw41WOdhEnW29Agbc7zKUcOlH49v6G9TqSvHQG2RkpAxb3rOGuDJ08rVHjD
U0Hj+d6xdviYe5XJVTE6tlB51U+fSsek29mtuy40dMJYJeVstiaxNSQHKugta5B56JtlfhySxoRO
WrcmmISFXGK9ahSrOnbGh85adi9ykftat2UdNHYUuRqWwdPbsWbvJ8uG3K9EOs/B1MY98btZmMpv
l2b5WHh2uelIlqqpyIOkTIWjSEFlrphD2lqNOSGZPxArT3FHs4d+GSutui7XEH3GVgQWqoezwuTO
jUiy+lO9pAArWMrgHCztdy7kf6ukXLY8qeIb2Wlb+i0mTevzutEXXu/tAy/kuWAk+JIltonKBWVE
4YHRZFV4Rne+hvx/g0YB0WVOppoosHd3nbttKyC3jMWq6J24VI4caIhmD+9cqPQGPx4Evk5o6kVx
XttU9XTKP7npwsOU9NM9xL2GB9MwurskSXAoLeAAxMelUJUe9G3RJVDhuD3b5CNx4kBUA+v9qukY
UTnU0DfWne1OE9JC5ox7d5vntjkhU+F8rGeXgs2NaQyIyDFDH9QjJCPVWDiR6Ft8ootW+hnAkShB
Hvg+c8eLmOpmp+NFR8VC0Y5PnXnAULGte8C/t1DqVA+pjsVp1qU2V1nekjvUY/2+ZhxBOhI0qryy
yYJhartp1SwDTkNdl3EIWDIGKBMTL4KQ236Qo7U3LUHddkwdb+U6eb8xMU4TJUGzU+DORXqZWSMj
Ivr+Nk0dcwfVTX0h28FZ5bxtP2YWsaifUXZRtQhqwhxKg0u5lAwcB+DcruWtPZtwMVdqTnPmKSYc
8h4Km3gV49FsGuECjJW2v5ypK4rQeP0GGdbvlriNaz/OWF8HHWpzA5DScBZiLMZLitt6W6FkvFiK
FFLwlHOtqozI0Z+n3F50bd74s03IlmuMslXdGxS1exMuXOmdYdo1uSpRUTEFSKPCaui8alXJPL5P
mKYR8cx769QlUUOP2nXVjqPjY5LkeTBoYs8gAE3Chy6IrFXhjjYObNKjVVZWhqiOG3rtUJp+8Kir
r22bZpNyvWG4lLF2iD8IK69ygA5Pkx31OTT/50sBIWpbxsL1QX/Nh2Lew6limk/tUC4+E4VcNWlX
nttKeKdtJUjQ65I8UMAWqzZpl/M+psU5xPHR51gPq7kEgTSJHqFO4SMJciGrdWaWZj11BGklUms/
mimh5wKJaUtSAIyYivkcYk0WWQ/HQZyXae2jeBmvQaduMMiMXWJp2LkApPaxZkkChly0zikebLZz
PDRckQzlzM8XjtQyj0bFgIfZKp100qoyx/gkniovC4BjHsFNNNCgY+qO6b1c9F263DQwn/tUcmfy
O4qdgNCk2qYJzls14Rnqd4gwpXKxZSvo2jCrSFfVH+JaLAA33DGyhJ45xWBOir1ZOjxZtqyeghp/
SdyhfzQZKU/kzLMAl1W35ziFBObk82YqhjbUZcXeg57suV7QHAGcTYmKy2k6YSPUmkXrve9FPp5y
QLORoGUTyFEumeK2AzzSefElmg1duXRx771Z60vWTAwHbLRhmWHR+kvN+UY3rDrLuIs36VClvuu4
JVI2yzoe6BpXQYncKmB5bG+gNSNVNkrxuSHlfN2XeapIWWdDkCyTo6TJq6s4htBh9Zx6QTw67iUA
O7vJklncZsSGAMjP2DLiWy+NVVOh68xBiK0gmHNVuw1uVEK6/qRhZaKmcYZgQvT4RfZySRQzDF8D
Hu52seTTilRDkakM0mtgWCFuR7PYTBVWK8oHKE0YnLWsvepzR6CSANQ+0hmUJpZeJV2eK5vgC2gs
at/tqnvaAiqBbBOgIfs8QbyhTr0u5yXekEFAdhxIfgbVCoRXL6B43bi72MTbZPbORuZtLeTHkE+g
gwJduNCWceVDwudPlOtgmUm94oPmyo7dU+Zwu9HZtM7mpIgMn/3FLiCpDLowcfuhQemkOgGdsuYq
oTmAfsvkiVnoBG0t0bJ7SPvQ52jLKlraWm/ybqKpwnU8darKO7ptnCzdjR7BANslOmW8d3TgaOhc
KulkrlTzJCfst1QXT5k2kxM2tp144JYS2iJjk4mwTtwEKudBX0y2GFJFTd8U264e22uCu+mzmBPm
KMguXwYoCJygB/lhldISmlzC0qTdNm3J1wIqjMjr2vourZwiAfzZVltZUs8Ls8KBPl9rxqfeIwZA
IM/4iru5MErOLf4wEa0b5XFqpC/axul93bnJA/XK6a6BS1vRJ4nf52a8Gnuc3mbQH1q1MGeZtpbX
80M31R7zO2nia4yMs2oKBt7RWKhdzGDDIy3TnxqmgkHrGfrTkrsweuP768+av1k+lnGbpLma7mTU
bXDYrKrzdKX9IcyqACto2viZf4QojFFf9oMPiEJr+zlRh86z5hT6waM/BdOmCNLA8alCWxI2Ef82
nP42m36l+fxzT/iAmnhJjQPs7GQFLHrXzWbPIgnsroy+s9gpHRxn8aCnzvEBzYOOt8nRojsJHEID
v/Kh9xVW++R2RI7HlLfvuz9T3iJG3DsdcJZ/GMNug4JmhU6+Kc8t/U7lQeEXx5QHM4lfKU8ctNjd
jAMegdytINn7y2kRZEG3rk/TdRMxWEH4Y5Dymupg0PIzLeg8Cs4wY4gfMGimIXerfM9gocYPJKiC
5rqMBt8GYJwZGKc9MkLAryruT4qH3CEvBohSA3d9MATUByqVKuJg3EERvI7XEo8Kmq7h3lBhMqM6
3wksmLFmkb4WwRH2jx1mr4pn+p15GqNiBPazDY+KC2+Vb6f13m4XrrCa1X/Sbp+xv/fcZxR11Wg3
b4F9J4E0n64hn8F4HHT6fXL3Xanfxk8PdTN3Okm/L+r88es/zpun6rrvnp763X3z9dE/r738FV70
/c37uduLX34aAv7FmO/brtBfXPzXZoBYyP3M6g/T/WkGeKXrN49Pb7b31ZPu/tgl2o/Xvj/65ywQ
+vYehV4P5xwg1bNZIH0nJaQ2lwjCYOK3v/THLNB9JzjxGAzRKKeEMQgEP2aBsG1EuIRxoOd6xEUQ
d/4Ls0AGXRMBJBhCEMIwp3uLfKZ/h8GYcGh4609ls6aThNmW53T/ZtxiDF4tCBSLksC5IfG8pDKP
CDUFTiufnOdXvT0Zn/Kd53uf6kGNp2UwGn/gPmCJ7Jvt/XUq2If6Z6PO74Q94VICg1dYa3hJ2BOa
DU2aGH96qG4aG1bY9zIfAMRdfz9Fde+nn6AyiJqtXh1NegfBek9bgHhdyhhYE6YHSW/EVTanI4fx
A+7COTtvmmJDBIw40GdApusyh9bG0q9dPUetMRF0NcKyXTfVkyXzMQXsY/SBHJ6fhR3EVdjMK42E
qs8fShwC0BZjrlB+23odOP4dyy+wu2udI+HsiAD4QeIoxm5xyVgZH1fjWU/KaBrSq6Efj5D5OuM9
ZA4WvKhE4Cicf8UDz2y4ztsWrkJ9MG619r1ruSVBsu3OP5c77cfXw9bPFh/57D67LHb69pnff49u
z4fph2jjq5oRgm4sAy9yXbk3wWfUs3lqoD3ntL679e74/byDrllA1eKPp1CC7PjaCeJjKfkgTX6n
KYBXiqmk7MCfGuhBzC0FfzJh2/ps1UZ7OFWeOpfpGiu9OpaYXtMkQn/Q4wc8JvNCJYxejF/NJ14c
Q/MMutDlEa72/vCTGp8ROYBQdTf2de1BKFroFTeLEoiqJn/KjoKMV4KCQBiBbxIPtjLxQVCYYHXC
Dnnc+W7UYFXAUOsDq5VYFUG+Y5+sCelDeSNX+cqeHAsKe8X8xOOfpMlesc+MJbEDymfDoGtXdjyM
u4L7k7Vj9GubfFVdz6jsrz+jUiJP9CaRrZ+YKyij++Exd59+TeIQN30zQdgdoQhDGwYS0UsaSQ+j
/AnmM/7oo7v4i43a2q8GRT+0/k1cr2B6oGCy+zgHYtv7eTCC/7V+vUquvccjJ3kttu23WH6c5ECd
hFYwTEO18ffLJmQtLybAccZPA3EFKPxWn7anxC/CYvLT3Zyo8fLX9NGrdkskDEghyUkYe7yUxKKN
Hcap7sAZ5xCmR5HcJFG82YcAJ+oiL7D+eHvMI18PO39SFQfyLxjLpM4hs7Hr9CZ7dLQi6zhTMoC+
VNBuhmSVhXad3/5nmKVIIILhT5ccJLU6L2yz7H0HXef33kO8+K0PjbMzfN1Jf4ZmBnS1AaYnK7jl
16RfFfMzygfhgYthNvXsgdc65Qr6QX7VF8oZC9UNsHL7B5R7JaTvFfaTkzLsYgBFBCNyEO2WsnBJ
UgGlApoX0P30TKuqzjvL+zToWhnC7lYYO8vJr6m+yh+DJAKyFS4As5dmNMI6h8eWrvIpdKvLKuDi
aoINhmzc/prOq8GB7aEnQi5spR9wV1s9OkkK3MFikhL1IzYRcVe/poFe9UmOYZ3NlbBIcLhiNnVz
l8PqWevTlG3zYtxmWAfxNK/mLA4cZ34c3XGbwFqEjfH5r2m/Dgee0T4QZLaM5eTVGcCOaFn1UP4D
+ltXJ+V7z5/85h6rPmoimIIFY4jXYvNr6ocB3oOdF2j1cAbAnXk/Ac40M8jMGHYRYCLUbJK8gxJy
mscjvnCow0MqB2lkRDD/oD01vtXok+NO9zirajWj7v6/xs0BzpBNRcm0iA52agbVNevaiY8h01cF
5nmwI4gBpMNy4kuzL72CwzJNPkAekZFes9tp7fnlBoUwRguGKIFq+9c8HfrZV9n9SZAdoNIMYcdt
ZTb4Zda8l+hc1jAn8sgmYUfCyCtKgt11DOgMCWDucDVxdHpvQtli/Wm+SOprilJVxkeSz6s0EEee
dKGKpN5B7pvrBlFhsfVTRr9UtbnjwxQVaf/535YZdJ25RMRDHOrZg5hBRuE4LuK9DyulsEWy5fEZ
mz+x+vrXZL7uhT6PvKCbF3QOYrxZ+oVPsTS+/ARNWgBlKGgjOqqMrnVUbkg4fVh26UmClLmNr451
uvDebX4iD0YoGXyZgOEfL22xRi3crtPB55diI86Lm9TPQ76V76vNEuD3gHBk4H0ag943sJsA7Rij
oILcitMjYnjFJ8jeGX6c40Dc0i26bJbJ4MPS3VKrXbI2URz0KmUrruiqXHkBOhK38F60v+L9QPRt
n8Vce6BiWOSIplN+v7PrNnRbHwV5iEO9haLmOonqTXwtIcV3PnZhMq/cFbSuAeMcA8o/oaqvpsCI
B9sTksH+zoGbpq2bUhmDDCqATyH107s9rCuCeLOv3gsYrq7qQAf17RHZv+pRAoodwsGfgPhLG8hZ
mjd0Bq9l17OP/dR3PsMkWGl/8buz8XTfID+WM9Ben4eyJ66EjqekHofF8Jc0eQrrNYIBzT2C7c8b
N9Db/kQAySmUJ9DUjXTgNv9+15rthUwQQ4BdoRhi7l4YzwoF2BXsoUvdgpCbelvDZBG2tI759GtO
RZBkHFanYBlc7K8/o9HPpiONca1fncLanbJPafAw+fqGr3LgSNwc0d8+4v0ky2fkDlIWjFF4N+1l
Ka6XFaydrekm2djADcqVDo6h8FdyCURdBJuQLkA2sf9u4Dlv7ghbBlLP0BS2rdLixg7nVQ2f3skj
qeQ153xO54ApDfF/RA10UuZsnZRCZRUgm2IL+w9pdz8k5ghERK/pDJAoIdKllEJ+ecnXkiS8caX+
VlLt3WDeTWtYZPVjldy5axkeUdprDvCc3kEag7DTI82NgR7KMKj4kvo2kvB9QgTxdjev8ov6ogwa
X8M4N/o16ddC7XPKBxpEFSxltrBI7XvaCeu49b3hWOHyKgmG8f7rTwzrEXvmnznAfoVGVxwgoRHx
VTu0Jw3Ux7/mAr1Og0Ej1wPYiQ+nenHfL0nZ8j3m7YrVHOoTtHZCeTqNQfwAK/hRsTsWoY+RPEiW
uNC0y9BgfFgGC4f+M3yDqX7N1WuheN/R+8HUgeCq1PP6jgGQb/kcZINVGawTVkeS7TEiB/F+ijuZ
VhbY4KRb8XhS7dwGpDkCpPGrFs4xQ8JDBD7cOoi0Mmk4g7FwByE+uxCb4Y5usV+GsBEqPxgfgMVH
+PAjYpcUulGPRZiGcUg2aTiFRXg8bL3KM3zlJKH9BbGfHhzGpFBHewMINukMLF7nNzF2t5mdj0St
V3mWBFKMgLYs2P9Lwx8bEdeT7qD88pwVw6WaYLEB0TvY0FXTcKx9iPZB6TDyg2SBHsgZPpY6CCJV
vUxDu1/3H33XN2cmyiN63p25MO+tj9Tqr9n+/yXtupbk1nXtF6lKObyKkjpNDvbYLyqnUc5ZX38X
596zrWbzNo+936aqqwYCCYIgsLBgKkC/KQZKO4rBeA2AIOMolOlxS3SS1vvVyb0/t32U6OlrEggi
lX0WhanUoSHJgMcvAVqJSi+zX2cl/HdS2LdQAzQuDYFwhp10X437Fp0QRhcJpKjcnUGxCtGNgiYD
m7G3cKjjSqOxnA7EwfBevig3yBeSage19nWQ+BJBpm4lWulXQW8S8aNP4YUFti7DGtFAh2uNsUWr
GHA2hwU9Ao4StLr2UOi119jRPlsARrFSIyKDPN/oZbWX1+TrNKL2Whd31zeVZzabj/jImmxuAuD/
BqnrBtwE2ay4WVi0rmONgruAd7hRHtSQHpex2iqjKd6Dy6JJyUjmter2iSr70ZpNnlLXj9e14R44
vAd1pHkQ12Frz8/3qim1keWwHsNFKgUp1+o12qV3pb/s9b9YuY0o9i3tZIaZa+UKVzKdliRzu/BF
oAybsaKh8FYCteHN3qxRlubLAmUKYLa81m6Vo7Vmyy6rbMuP1Wp+n5roe7eOPQBbuW/Mqyxaz8tP
QGkUL3lkDOBVUJw4/4TakashzQdkJtpCJ804Fr6Udrm/jsp6UuNuRTtYiD6/VSsOYdc3P1tnCPfX
1+HSelBXhulY6DFVkP9kvqHSzThWJ0Trkv5kmTsb1RFpFMig/+PcUVMZNt4buIAsh70L1S7P+ilS
/ve5Q900Gu/2RSDsDr2MYh3kUxWkX+hLWvmIcjdbqiqtAWwqdEkP+cPtC6CBO/k+f1LdLAjJQP50
4c6F0bO/EbYsOS2yt2jh07rSLdE1kkfT16QUAVYuUqvoDz7TinGmaWaVy2JAKx0IkY4kfr9Hs9xL
eowF1zcnG3MuiYnwzE7VcgAQBtL4SmB/k9AkGazIBsRBW7jqawS3PQWrPzdBuxPF5Zd2SGXbFC2g
obZDARDb5dRQZlkTG7IHQBEjk7YHvjrpw9/s2W8hjIKzExpl0fUjMeLyM7L6Oyltbbe3Y0G4wEks
nWvDRLL9NE2VZkCbDitp0j0Lim+LHxPFTe9nJBeWwEHbMSIVoKKPqiu7kTijwjsOJqCTNB2vIr/E
eLi6t2IzKSS8jO+VQPOqneWvH1U65LB86/Dn7wOHptGQwVGBK8Hz+HwHx9KIQ0nLR7KW+aGT4iN8
5+fr+3d5nwIigzwNurssCvFgwrA0T/W4ULF/RYNOLgCbJ1XwBPm4w859FUQYMtrZAefQUM041yJD
V8FSNxCxJLF1UsxU/rUsw7LvR63aJdqKqntbjLtlStBYFMbSHn1E9g97LqwASZ3KXQ1lvBkM0yBq
btb7Hp2ALwhd6xI9pKOyN/XJrEXfzFkWgI0QmlJQEQ3wz785RSdvWzdIY6aHHjgyx82/IG/mjZE7
eGpg/WpfRaeVE+E5EKk71MsiZcCi6FRcTJ3iQGR8UBdA6ZSg8LtXHUCM8t4+1L7+JnvTff8++z2p
AcFx7T93v2cfwBh3KedSib5teMXY/tJk5ZcxQ3+7UwtOMieOhKJoxVJhE0j4sGsb90qHZ0E5kt6T
kRcpPeAvPXp+NT9/FN1glw8oCLNVBVGB46Clm7mMRyVtR22uRlLLuFMmpQ8yeTg507BfU+mrHqED
6vqB4mQizyQ6TNZ1qawYnaEw9/Qw3gDl2JAEXfV7x9fdHHGdB3hYsHiFJ8a08Bz+9qAxuoJVY5zl
QoLkUCcApblTbhyqQhHYCSdTcnag2Ri8Mep1QsfzSNq3MVDfcUDI+rlFHxtw6a5GUj+6F3lCzjZu
fchHHL0JDfImR701Rlw3l/cl4PbAY6w1+p7DxDMTURApWMcPA94Im2StqpYFOxgfKhdZ8tuGSKTH
yTffWnr0xPcKPVqXLhKvVPgtAMrZe8VB//Wsy/GEgGS+qYNxn900h8KL/VwMJBfJos+8jXaZWc7j
bCUTaXH8qifllNwaO8Xv7sX3JceLGkDvoWlfhytV2NdNpyuVoxQQVaz2Qz2sntOkX64ftwsQDY3l
NjLYZ40W9ZoyKFi6MehV1wnGQxkUu3pf7Izb/Nnxk1+9OwO6Fu971FicF6cKqqAmIvd9ASb5+A5a
scb7WAailLmrnSlJ8hYdlUR/xEvOL3xlHwemNwU6Qrv/7rzT2OrCajYimdirjNM4l1Y47NzKXG29
WZx3NAkZyc/rS8zZRZptQ5ILWRpUORgxw4Ak5VAhChmKfSflrhYLXqa8tUOzEQVUwEeDAJB+wcYk
zSQt51BCcoPGdn3ilzgBehm0vhqkp6J2i+A9v7Vl/7peHJ9yJpXZsb6ZqgVtkQNJsmkXS7u4md0w
T72m/aKMtcBpqpzNgjQkE6i1opDDHLtK7eIOJDcoSD4qb1pQB+0hekI1LhhP9XP2qnweTwnRds1h
OowAr++Hm4jgkfWUfu0EFzB3PwHmBdkiEt02m7GqbLUxB7ra4GzwrOV7OBuCO5Crq0kBgrh6bTAy
ne9nWplDZczTCLIU82l2TL8z0rcSbAVArgbXN5EXXZq0cmSg34GGFYx1hqszTVFZUPBD7+UFoUuL
9q3UK4juDd7iLc+12+NqwrFPgjYVqMpdzI14JlCswmrIigF3IUgJ3Fz72moCBWl0zBxy6GfpgMQg
PAeW/HwtK1NJ+ihHWJhPz074papfhvngFHdT+jQsq8BKucGLbMswDIPi99mznq+1k68xpHU+Im9p
cKOnrnPr59SbC7fTyOQh/xx9iUhzn3jzXy3mRjqzmIjIZDusEBmmC1hPpgRt/DEgH9ct5mPFLlZ0
I4V5j4yyNMdDAvTKhKq4hCtDuk/2kel+VDp34Y4iH+dTdow9GQhEOXGrQPGV1+IhvqufuvtpL8Qi
cz0RzgmaGyhmzmD0TvPKSKUJAB7ruXK/6iQ7qj74Eb44BExEB+M1PT5HnuFdXwduHI588j9SmXXo
23ZOexl+PT3YO9Bb7aObj+okSQAb+pvHxTYxxwhrEsOY0nIcSYXOU6RBqvaxigR1KJ7bUXQ8mVGF
B46HXUZ5AL3GqOh4aJaferRlRu998d4vgoiDd+K3UhhNuq5KcycHjw1qhX6ugZnMqT8JtoZnEFsZ
zKFX7Sxpsgwyes8ufPPd2tN+P/MwnnoXbUxv7bfluXv+c5A6ghg8eh3kvh2LNs0wzjS2kro3auxS
VIe3ipncSmPoaar2fF0/7hLCWeO1CwgsWP7OfZq5LKocl4jZtF7a59V0Z+iqwG3y8kUmhUoA1YWb
CK0r5zLiYpgqC3xBJL0xj6WHEpBEyr1TIFM0eFZKwv3oA3dDhu8ARgXmU5i51YmCGq+ryr2ftt+h
nX9HlmqZBG8DX0PCx2hfHPvvuZc8TTvKGwiyGrf1nR0YpBq3e5ZSX3TKOW8ZQNtkWwHngozgihEv
lfoqDdEKhHnXeGH9NHVf1sUSuFROGQM5RnAuIv0PEAyCxHMl0Z+lqEDFjgAfFE814m9qpuEbRfqI
HvQ8hWAzFpQy0eH4cYNtYsVhHrrWQBWIREUIZG8AV07AgXN913gGipy3gYI7ct8O2xwCBFsI1hgI
WaKeoK/Z1UH1eF0EB50FkOtGBhN+anJulDHNJfZv+SFa/fJnTFKc8eSgHe3WG981Ql+Af+OIt2KZ
I54Nq5zmHbYqQ3AWLL39qC/lvKvB9CJQkDpC9p7dSmKMYi7XsmhSIKPwNgNdgAvmjRGEVMAT9af4
c/dDOap4HNmB86m6FzWoUAd5TTbjpHvJjkEViMXND0agoQ2VPnHTo+jVx43qtzoyjjorAeW3gFMm
yzHcgfrgbfIVL/cqku0+/griQPe0XfSQ3MRPoKUIaOWE4hFEMQTvWCBFDMoJFelKU2OyTpmTzt24
IKhR42JCvDs1RNOr73laLgKPJpLEpAnHcAYsnQbceoaYsHb6z81c/OoaxNjXDYhaIruHW5XUc6cC
1h8pLBfEoosSeclyi6Yfb2zedVsSCOIZy1YQ4yO7sgdJlULf0Yf5hhbT5qO0U/e24JnLcypbMfT3
jecau3IKmwbRbQ4izIzyyoHWNhHowhWCSh2SLh/tNMyi1aET96oCwy+7iFjjQFppf31beLEJshz/
SGBWy9YHs5Qp2nxJe68Fmt3Rc3ftLdLNC5H1b9elcaPUbSaeMex57OVKa2lWeme9TbfhAcKOgGSh
BaG8FZ2i/ycJ/zvvzxj3lIxjpmp4zlUxSvIAW74Nu8jPUKQzb1Cq20WPaGaPdp234nz9AitGdxI+
Kbk3w1ZlZg87s1aiyoDK2rPzg0Kchl8dCQ/KTv8RosLVHHoin5rv1xeae6w3FQ9mWyOQz1ZthdPm
zHd2fTLTFNlVQeZBJIM5AZbdR2DSQ+YhLWQ/MxS3yhZ/mAXPAF7R9ax4Qz9jc9B6MGwpRkr7IVqk
xe6AAyCR7/jd12rn+L1fPOh5ANy16rXo2Rd6Yu752Cwkc8HWqH86S47dQ+eKQqxIBhJTMiwilbID
ThRQ+YAZUNgeznWWv+scDmO4lNvNxMud4oOKu0omiDNPykLM+8kDdvGRVieVg3QQFbi5O7oRy5iq
NJaO0Y0Qa8++Caaj9HNVC5C0XO+8EcEYpqmqUYKkGgU/g60QXYFDAAz5XgQKEGnC2KadRlNlrxoa
F6g6clm7tiOB2DivBP5TJIixTrspGscuEIClqrFXjbuuT3YRyFOvH2fuPbBZNcYKZ63qGttGDQPs
R2QYvT7vvesSeGUglNYMwGUR8+sXTwtnbvWxTxFyjMHoLd/Asf1/gX+8N47zbSQ8WRxMNS2t/ZbI
7BFIuKwYZVmanapKdDqBYJxYxFlIeK8GqIreil5v/FX8LZDZq6xr02Klp6qePkulA0opYXWc3l8X
Uc5GJ2ajVoCqsjGukUC8sY/Vkbp5abfelkR0t/HtzpEBZwM0Ct2R514xVYwljh1cbWPXvxezqrtj
Zu1bGRwK1w2Dv2i/BTGuaDamSpUL5JXs5ocqHWxd5N+pU7lcst8CGKcT2VaKywqB1HRUjxY698GE
/lgcaHhtHWqBmYuWjXE/+jQiod+jgAyC0UCjydCsAHRtJNcXjevlkA2htCSgQmCBVvGoliVA7oB6
RApOEjrbp7IKrKRZQVRt7oekJENnBbJSCJ66/GO8kcwcqnium3IFyTYJb/MX+7j8ql4zYt1O3nKj
fMvQH5R9v64q1z42AplDNZiLCkYy+A25+dHR9tzx678TwByp1kg6pxzh++Rs+JmGkQfE4cN1ETyr
sECHAlicDmiOw7wvs7WXjFFBJLPEqy+XoOmcKnD59YKjxA0FafYKHcBIFoD95vzQ6nG4gMZVG4h9
qx8t1S32DW5Ap3ONW2tnBt19/li+DqdYYBS8aGIrljlh41Cpk9LAV+hDvwNdKnHUmhgJinPxr+sL
ya39IZkDih/a2oTc0bmGiqxpyA1DVAfatIPuN7e97IY/x6P6QyOVFx9DEt03gjuY00uAJjEVE8fA
pwPJMiNVl5fYqgwcN+lZCWJSA84l+/m9/sX+ab0mr/o9zRIqfvRW3ra31oH26yxHPD8D+070Ldxb
bfstjC0Zva7GBoWodD6SQV6PArbky+D/D5xjEURg6hNYFdd4N8ozSYt57qsysaB8WXc7sB5ioMNO
LRqBFN4xt4BPBRgXREw4I8zGro4Zglwbiaa+ioK1kmVPGf4qCEFrowYMNeBEaCA7lzKje35SLOT8
Uf5rvfkt+4bZEnuKJ1JBD/vSvfQ7Ya8h93RsZDIbBoa1PNNDB1cCGCN+tIc6qMgsu5nuZmR+tNDv
SPGHn63JFVbILjrzaYZ+qy+zqn1r6vZQojKQJu7y1GvE+uH8kP3SwwuHGDvzuclJ96a+FT8pFFIM
H+Hazm/dWUKiacrKsMZYFaJayylvMGah6qPW7RrEygLPQJeRveY3qrIddMpsKtaKOSdkad30pfEH
nw7CCb3yJPm6a+yMBWAj1cuApPqbJCkcrokGZoByFLYPZjQS1EEXaBmCT9gBEbVSPzhg9byuIbdG
sRXDxBbJFBXt1EDD/AaYkZ1zr9ofvcKoudytd8pjcgBnQHRQ30q/vLXJ+Paz3olecNxV3qjKXP+h
nhpxncP/Wtb3RQJGrY2Ig1EGegYsF2YggqJYsLFcxwCYhylr4PVCve78yGKag2RinAkKaE4fzI3m
y6p/fWG5RrqRwAQAZgfmjKWHU7AH0wNEIQgN/TXVcsHLlPqWCwO1DVUHzQlCao1RRK+WvsFEjwnJ
ouHzKs9fOyM7aPZCer3ca+CwvK4Vd9024hitMMxFlxJQ6RJjUFzJqEkt8qacdYOxo/RH+78cgLbO
dyY300gD+m1C4hB0P/IPY7ZcTEMQ7D9Xio2akAV/jRoI48KkQbEl8PKhKqCunqJjqBOQBrkoIyKQ
wj531hLM4moNKaEmE2O6Uy3tEXzmAoA/Z08sTOf6jy4Gs2JFghlTVk9XzHyVY5Vk86/rm04Xg7Gx
MwHq+ZYMSRHFkmZQZCClMEBZ4QNQJipk8FeLNskB42VqLHpNisewWkeIiaSHyL5p5s+5iBKIc1qg
yW8RjPmGzQxmX4UuVZKSNHJeQNKPyGtFfSYcgFct5JfrS0f/4eXS/RbIhAZppKwZTi3Oy+SM94ms
5CAHbNEq0EgOEtVtd7guj7eGaA5AkyZYCDQg9s+3atGUFXN49IlkKWj6bVcq7hYr8f6dEEapMq3B
2F1CSNOoXt7OnhnuzFAWPLF5e7VVhYlw0sooErmClNbataZx1EHb1HR7Ld0BIPR0XSPeCwC0BjA6
RwHTy8fQvm26NpmdolQnCIsKP7vDMJITmMeCfq8qoDV3J/AOoDlg3why0UKxzEpKRYO7fwRbfXwA
1P5btlfAmtN57QkFBmIQ7RU5U8Hm8bwFIn1U6DC+EF2UzH1fYbBHnqQOGJyTkMwKSXpR4MKXgM4e
9HLgtcg2sZtJny4F3bhB0w6z3t9g+MBesF8iGYydZ5Ujr5hpBZr/2/Igf0L/zQcTdfRSHSIAKsS1
TV5CnzLD/aMVs1Vhj5p1WWCr7FsMaiLKwQSSwjiFh4ToP1YfYIN7Z2cQMXqDd6S3gplzAOr8WPrY
MMy0eVpRAJrKlykX3CFC9ZgL0ZiHplpmqDcdUSBXfcrSYgA9bBHtCNpTcOXEdxFg9dNeZC489PR2
ZdmmE/A7ZrUyQHT0TXnDk2L28gcQfgc01u52qp+i6cUiSky6H6ZGkod0r58wyUOIgOcuNDjbZEre
YlyQL1SFBKo1DfyCZTu5GLCUo1ovz4IAinchoCn0HyGM4UZGUdlxE80kj0bQSRWukac30hS7ZlX9
zUnfiGIsNs4xrcZZIaqMxmBo9T0Y/75dP4c8H73VhrFNuNNJaqtsxlVW+XqP4WUmhl0ab2o87is5
2f07aYyNOmqCeWHljKEY2i9b2RdfoyXoK0x/XARBNde7/F65C4vseyNb5BBXTzWfmindm2Ev8GA8
YwNeCVB2hO7gVWBiqmLWBiet4cDQ7HRTSdLByufHMZf/wga2YlhvH2pNVFSIP3r7ZzzqZJ4jwaZw
FQGaHF2xYLlGquM84lDMKZSTFRIwqAxNdK/V8rxkX65v/MV+ILWi2mBfwx2N5WKpVyQr6cwowlCx
PnvVpR8Fiv3XBVzmvyDBkPH5Ou18UW0mhtZauQxXuZjJWsgnrZM+W31ykurwodZNXyv1H/KsBuuq
BpGzBrVmHY2m2dvD6v/L72DMIh8MjArFxAnczO7wvoI4f96rBw0Tld5QXQKNnvNyXSJvafH6xBOI
soBe9F5+rMeg4AQbSOhOdUSW5o9fQVjbrQj6CZtSeI44xF5rqlP4VYkGd5A7Ly5EWDa+Io6NlmJD
AZcHtdONFHkqh0zrKTusHrld+ZSagpW6MPQPNX4LYDx3XVkAgaxQQy1OEiha5+IdgzP/Zjd+y2Bc
tpNMmEJml1gqc8E813t71rzrEi6xLFADbQqYGQ23g/5HZjeMKhpse6ixTof6QAm2+w/0Jx068V/w
dVxUFhlpzK5gaCYGB2bNTBarLTBQMIVgtZ9bjKxN1fu5qV+KJl8PEobLHjH+WHLHEMnD6yrzNg4B
BkgcZZpwtplLqsAAXjnBzBqEuje9jUCmT0BSb/yNFFtFnwSSFuD0ZzTNMM24V81+BgHRuC91jGI0
yuFzNkwCXlSenYMWhPbUWyoCeMZEQnmQc8vscKtjmBo4+DPkyv54vcAcgRML9jzas8qsV5ZJ6CMJ
oYli3yvWk5Q+p5FACc6WIMmjgbsIDXmYDcdcS4lTFnERQgk1kzoAW/PDkqmZW/e9QNBlehNMMci9
o3qFzlvtolu+SpcFjJ0D4q0bzMlzlUDBEBmwOvvop4wwEsTYoeP3LnwGIxra5/Nd1P8X0zm46qKn
Gnw1aAG22D0DSXmUYOjvTJAOoKGlDnoyTHKLB1HgwhMEEhdkzwBJoeC7cye4NhGGRmsQhHGHXm8d
2+GbFomKKiIhrH2USFlHCcKwtU2MGzTlzTupdpwnRZf+b+jI/zv4QSSKifgAUHNWiZoieEYe684k
wxx+STrpLyx+s2wscHVeZsfKdYjJk8kzMPCwbyO30A/Xz9XlGwu2uBXDBBm2NgLUPU3UFunzqtsp
321UbT7np+ZGIfl+vl1O1gOmc4pLJpdFXCpbRacDYEp4lLPP/knFmPtmwqY1vnVv70yi7JPb5Jjs
4m8KwUAzfzi1O1GX3wcF/1n6i0rVMJFEBmOagabUc3u0OkzQtSRoXN40nduiHLTHdIxdfo/qyX31
0mGKxs6lPOdgXXDRZ9i4aKgWZTy4RrT5CGbZizoHq4OxzESqUl+e5OcRYPqqK75f316RGCZ0m6Jw
jhtA60g1Yb54dLeiEb2Sn68LoWfr2oIyjrMwl6ltDXrLyINrxr8kPdsbkIdh0G7vfEvNeX9dIOe6
OdtBJlzoMn0EKeY6EwfD/Zq2eMbYMcFr6xLA/mElgCsiD4+sP0tWFIeGnc+SNZM+suSE9GVo62+Y
YhT2r2oULV/zcMIY5miMfg35gmFZST/sjNyZy70+hkO60zpj+q5nkzYd7DKT3DmWu18g6otu0nXF
sBZzRR9ha1jTd0zHUW8wY1y9TVQpdZ1VnlxnqKRPmG6sHx09rARJTP7y/aMa+5KMo8JBeyaWz8DE
mBRTCB2BAOrRLw3itwDGuGvMx5XjFPcbhiR6Mg60ivt0Sd1eKV3DFgjjm/hvYYyJo3secc8CE48L
zBAZfrXDd7n9fN3geAEqLO63EMbEU3s0h0GFEDqHITo1x8S3nsI9hmwH6mdHxLLC3yC07wP2hL5H
NhLplmGI2hzOoRq0wIhfxtUSXC4iCcwJqmrc1rNsw/PKlQ9rHXTFEywZf19+K0F/37x92qps41ZG
OIUJ67k7vlAmSgeTZNA3mhzkIEITD5CQ/t9IRWRFu6sdDCFkTE+fO6dycmwUhrxV39qH5RZUUphP
S/K7+gRCnZfSz0q8YtzrcrnruRHLGqFTNo6FcT1EHoFLX97USjifjy8CBWmUHxFms33yWQEkOubF
4tVyXN4XzB3ESJnGRb3/EVb4UgCPpons8CIvSH0gBP5HJGP1RupU7RhBK3PpMM8hLe70FGTdSkKs
XMh1wNcP5PmyhsERl5MxBjT6FgVym9En6d4IltvqtT/lp/no7LRPYEH+Ipo3wtUOPMQo65lok2dJ
pDDJ1l6BTJtJgZJxJq9uNb709uTZCPqvWwf3gtxIYl7pTjdFKIfDKJf02VpVV0Ne2YwSkmOcvQXm
dy0TMcZxFxP4LTgtDZSUFv19c/jUxF51Z4EH1gFvzrOXUou86zpxj/dGAnO8K5TDl7nHA3bNZd8q
Hk1p9LJC4Nsv2+6pBVKQFFIDqowGrnM9Vr3qa9xUMxlAbeMprUebyIodsm3e8jCT8X26me5T3/ky
RII94+gH0nSM0MMUd9AYsLFpXBeYf5ylC0bBOG4vWWD4UB9KXQR14WwUZYLAiUau0rjgK3TQzoIp
w9lC9Kl+HIz0ay2kyuWJ0FB2BZMmaLcvkGDFiPSd5TQLyB0zssi/BhFQTySAeXvZlRTJqYpMaBaD
bHX+2sQi58fbDE3HDEwVbaf6Bc11NTr50Ixoo6rjgkg9Ut+Z54gCCd5zxN5KYfSIUNrtwBS+4JIv
D8WT+o0ym/0AkovOW6uApwrvAKT+83N0JpR5TYK8DmNJLQi1ETFb6YuGwQ/r6F8/rJfoOLDk4z5E
LhVVHrx5GE++xmUeWhOkUGqHZF8Gwzc6o2alLZm7sXCLN/U+ftJIE1Tonp9TgXyuhWzE09837qhO
7RxtWz1GvI6GF3WAtXQ/rmvICTlxiuhDEhg8oAyYRx3qhIVSmTrKMG2VB3oRI6q9SypMrlUz09y1
iiEqllw2sGNNtyKZUCOMVCt01mohzj49FF2AAWGnDORK+svol0/gepRdB2BZzLJ9HHrX+HldYd6S
bqUznhFOC3RqCqRPSloTTak+OX8O5mY0ZKwmN+M1LKoC3YuW5aMZw7d2Qynws5xbGKuomyCxxFwM
gPzPTUPRpEmXegnXvvOcIVBU8lttsNwxF0HGeT5kK4hRpjXHMGz0ekE+5WYFqUEU/kpSEYKYnlbm
5XOmDWPollXKbU2F/AeVpO0ozZWo159XGoIczMwBGYaC8ZBMTk1Cx2w92zGKT0G1uOZx2FXEPBi3
ae46O0zCCzRBnoi7eh9BNZww5pewii1zqpaDhoBiSfZS5hyjJjuZYfNy3aov+0ypyW3k0O/YeIpl
Unt5CbGAY5A+dJ+1w/+yQ3Qke0wad45cCaiG6pDuMRZd3r+LKee49rj5ACZWsyutcfQmWYiW9O9G
qh2tYXgtwfpRRqKQl5djwIBNii1TKVkbC/G3lWWuuhrKolDpqbvyYD23NzYZAHSIiXaaDw1wbdlN
cSjAeid9Xf0C06LRnbkTDcngOpPNhzA3X6iMTZPJCBHM0cIT5nOxih7QXP+MfjGadkNEygbb7dDp
fWsjnBqDydeCMkBZpT90u+h1PtX+SmRvRq57dp0v5l/cPYDT/iOZ3VCjKksHvIVkQBHHwASVTha4
MO7qIbmNQcvYS5SCz21WRT5/bKQc0Qmm3oNrL81EDwiN84IAwJUOFqUcaaganYsIV0z3iet1QUUU
NJnGC647P+nuQLJNUlQuZWvy2hy4jbE/aIlPr8C0r7y6To5Gf1KVet+mpd+Nw10Xa549ole6r906
/GVj7kunfKqN5QRCLbcYXpB3mmPtxRzfQcPhxfqD0gBQXz6k/dMapyiXflp7wd3Nc5owPrwzAU2m
Zdlz5SZTWXEgYX20RZeSPA5B8iBuT+BtE0Z+GECA6bhvbGYNnTBCjUxFENkOGIKRYmLf6F33XjwJ
aDPQQHyB6ZlIG54rIufK0PTVAK8c2v60qg+TI8pe8/wwOMhAKI/+nEuMsGOhAV5O24Uo4P+ykMqw
xq+KPQosmhsKg8sAuU/KhAci7nNNVqku1ilCwEbjRcVrQ7cM1s82OFoxPu8RE1P2mJXmyyI2U752
v8UylqDX7apEJsT29uswja4yv/YiYm7uJuFdDFYehBx4TJyr1kW11awyZNQTeFfytzAXhTRcLcB0
CZ8OXl2QO59LGMt5WasZEpr0oKw3uh67kR1cNzWuDExY0TBhhWLDmOAzr7vajFaYWjIP4Br5Xumf
YfcCe76EguI2Rj1UBuoc9MsXs/kc5JxGQ8ezAbQ7XlqDDk7Zj27v1p/a0sckcdlDYkbYzszbIQA/
8PTXFEp7yaxf0bWRHdlYv3wEnn9I3Xj+cn31eO50K4G1s6lWoTkkZKBJ9UwDFKlZ8y619SlctPta
U9F/KTpTIpmM3Tn5NI9WT3dM190EPJpRa7hdDIzm8jzbTqCZD9eV5JmIBZ4mxNQmBrCx0cVY4boq
qTdSqttU/26b+6kVrCN3pzYimHWcMgW1kAj2YWnUxh8MSeQReOEYkoGYuoMyIaitqJKbeNCey1bK
Q0jAGzUsyCrD4zk3j9dXihtOW2i1BMzaRrclKyVplCnJmpG+/MOd3bhF5saYiTgTjYBPLnYX4Vgy
rjVsJDJRiTVgnky6wAJndBetkhvW34yFTnfDaOv0ZE0CDbnLuBHHHKlW64YwV2ELIzYqj34Y4F1L
wp2og5mbZ0ADk4ZrQwPpks7IWXRdiwCYwFi3nX6Uif7J+AEKyT2mQfmUHEY7GrkbBhYwyeH3Uswp
Rx+L7PNrK56xR1tq0DZmfaQ5RlrMJtWv0W1ATI8+sVdRLzCvkIwmzt/KMic6tKfKTGso2/nxAy2f
y5/iAx1jsR6A/Q5sWNBKyjvrNbwH10m7w9hsIjBc6uavKMw281RVgbNfwnANd/RUQM4jVM+rm3if
fxV2d1J1rslirhxzSDV9raCuvhtvam8NstUtvdSjzQESZvOgHQE0qK3bBOIrgefLbIytAQkopnYC
pXPuBhrUPfIsRezWJIcZF3YSgUAPT8Dry8mVgqZc5JoxTO/iVZ0vvbU4BgLRof6UTw92ca+q36+L
oAfgYhE3IhgLHTSn6511gVNu2lfwC5zMNSF60b2G4ShjtEso4NbiHXzaI/8flRgbterFkaYFBqJI
Xy1rL9nwn/bbJBq1LBDDdr+2U2qjDi8jU6TJbrsa3hTmpEFB1jQFTQGCPWIDn0JtlDKuEQC3PSan
jw+2GrlKHVzfJd69tlk1k/qZza0jLaURyQl2qSvW772Tv+ntKhDBWzHA/gzMlNORx9Hp7xsRtpIC
F2XhNJXdPlZKX4prN+4wDVsWjXu7JLJALLMVxTjlcXHWeGohKryNQJBw077QxLbpdR6YIuNTeBJn
tXkLiOsGw/lQfAelMHNe8c6SMawEZmfZq7ckd/0iAlCKJNDfN+tXt9LSYeghJJgHzXg1rT8mCqKr
tlGBiTyQS0dIrMEG4vq2sR4sTRA7XbaYoCCDxCdlncEUKeSBzjVoSkNaTBUCWs88WvfDt/XH8m68
rV5HUoxu9ACmAeIr/bQSML1rr7OPmcTI65U70S1yeaToh4CrCMzn1BgZ+4gXZzTUCckFe/4a5TsU
YdzQFrFeXto7BhriwQpgNUbamuyjSK0HqzGXZiWVvpzkPnVl9BV0U7kzMIX6T08vHWsCcBWdVIeX
C2N8YWHEaZLUK5D5NRnL/QKkznUJvBUDlSQIdAE0QD6GWTFnxMNlzNWVpBZ67Wc0p+f1wSzerku5
NHHogWckZlXRYXss/t9onRQlcSyZPH3LlJMmQu1yUC0QYNk2ckrIXgEgfG6BfTs6a0f3pLzpbzRv
3dd75agQCrsudyKaJb409DJi5raNRlp2W8yyzsJZy2SSfQJlS7DuM3ANW7sVcxnFAQOnOgPdNtIY
/zBPrVGCjgFGgDqXhbkoxEHimIxuubfvIdNbj8ingufVxfAL4YAqnrXTeVjgi0e5DTW385XN+1BS
5KJbyajcGPaXND4lxpM9/zGjFMq6NvLxOuIiDMBkq17SNMRROWsryZ3FLZC3NQ/XTZBj6GcCmJgv
lWUr7nJ5JXYRuUYEuGJTHNJWwEvEM40zMYwrXAajK/Vex2a9aW/9AQ2nvvaog+cGsJZA1NvH1wkp
E4029KMz43xvAKORVrPNMce1+FUPe2D6XLUWrJvKFaLTvg94IDDXM9e72tgL5gOacHfv/Q3oU73Q
cMNbE1wdxR1y+0iA24f4XQ7ifdUe2v8h7cqWJMWV7BdhhljFK2tEZOSelZWVL1itIEDsINDXz6Hs
zq1ICgume17arLfykHC5XO7Hz0GLGafAAV0H230jbESRpZ3xv79kfRV3XEnSXE7Sa0z9mA3SbZW9
MYMNb/9gYrWjfEhgX8Xn46T0IRDm4k3iGeB7GcZf1/3xb36ixeP/rGY9dZWapQbQpwn1+hCnyXgC
fv5euZ/e2PQfaIj6DBbzE+AhYRxOHgWCXn3j3INmyKII71//OX9n8x9/zSqbRzVZiDon0quVwrN7
wOgr6lb6c2YrN2X+z6eJPlpb5fIS2mAWcErYZlb8KpXGlcPwcn1BgF3D+z8+UC6N/IWOduwUH5K3
OB05IF8TPZdDkYYFb3qP2jEaB02f++jjzrdpw+JzjL7OfUZm1bXTsY00jU+HOqftQa2H+X7QExY5
dWEfElaax7LgUOkFA5+v65kdsWLsDjYrixY6x6z1dBS2HxkI/sN+stGC6JPhoU5J5QMniadfL/o6
4H1BvjSYrPAwklZWXlGYuXCBG+uAPC7EN5KpCOlNCxQFyTiPxtKoAxAqaOHkOKSKLAn+hpIPzXmQ
NofsY/0uzLh6Kbs2PuQ1GODTTtBASbIvSZx2fpGyEsBpNDxlm4KHXLAhKM0ORQ3HSu/i2lGgOKc5
0VRmeSh4ARcwO1B3Uyc7a2oC7XdNlg8lzdJDK0HoNk0sCQptTqJYMYqodBhzRxAEP4NpJn2aswEq
3spUPSZFZt3SRGcnAb7+U8XtNBydxgCGVhszt5J14isKFFBddWQkiKs6CccZp5xVLH3SIM3r5hih
u5kTHUovAylOUw8Aa1S0s/oQ25wAiJmW9MCNHCRmGFt3m1R3wr7l8ZFmvLlRGWgaGmLGrqU3Iqjl
BB1EahoufnIbGFynrhZ3CGi81V2rMSp/ZDEAlmhh3Ug+gi8nUduoGfPkQJwuPaZxbeEvvDxZgC08
aJWNP9nQWz/WZz3UC5beVEahhELvUTzRldfayRK3tFKAcTDg9snWIAxamEYZjMUIbWfTQXWOIZes
bY15VYv5tK6CcMCos9jt6v47JgvU8xRLzZ9NU7oDnC3IRJV7eV7Wj1aiYPRLmVPiS14Tj+J/ORhz
B0mqVinvqD2QoJ+0FlKKKf3EFcgkgJ+vDcRoo/pAzOKmqwo8b6FOeCPy3AhKdUzCYUbZWKi5vC81
Y3ZTcAcHjsK/AnvzPBk/ZVtWQT1URigNOwtriG6fSQ3gt+JU9besse2oK7qqBAFMJk5pKsejnPTY
y3JL8RXS1admIHaQZbEau1MV57+YLetDjK/24kiqu1zv80OapNZXSBVCMo1CelqFhBpAImR87lRu
3OiNTqOSQZS+SFNxdtomgYPoNrD6iZbVP2rJ42cMz8ZPuPkJBPpykd3bikVQEq3LpYuap24jO1xZ
cV2Upw5yKV6VtzkSkGpW74rOSL8WismpP+TY8hhkq2j1znl2F9OkP2EMUBRuXSO79S2gS7kbg/aV
+mkXaxB16e0vtWyTNzEk6k2sjvKpAgfgF6sqrMiehvkVaEcU2kQOiv5Jr/2iItqLUXIdk95JdjOo
IzmKKQEMouCtX4K//CEvtOprbZdO4ED18KkiDqYKx6KOWlD0unwek95Njbn9RdUR4x8kMq3GT/oq
D2IuhwdpWNXZlhCGFiNRUO5q26+N3abUhxeIVztXxNckBR1l3+TvkgxVOAMKHKpOmr6ISbAAYwQ3
OTf62xFbF8xxOvqANGpuZXTWLW+oFZmZUVrejE12M7sZbjAyqAYDgouvtHTEVSpNq/IMo1J9A7yk
B0x6lkGTW4WHsQMztJN6QlUHGutGacobwTLFz5F+Hjt0+AKTCDUEtlZEccYHwMlpcxzKJn8Go5EW
MWZlEd4zmDEqFRsGJXCcg8zrA7yjOBZp2xwMMpM0ikHRIb7GEy0zF/hk5jl5J8SBJWaaZ77Ns7bB
qYYmKURZR+NIahm7rb38RmoskxIgRI/rvAg0tK0QP4jhjYPVhxm0S58ALpGek6QsSJWJeT2EUJ7R
NmseFeSbKL7MkK5rbNCdtVOeBNY8Kk9m1qTPtK/4S531eWTVkwMpJr1u3IYa/DgIBrbAgphek07K
IU61KZAWmCrQalFO00IA3JgWi7gGIYtZHdUwzqGsVtS9cZpa0QeyKLqbptdyRNhiHl5lYQOSRKAb
rAdDPwxubCZN6YHZRnydhcEiyirnkAxWqnoloOD3xQTBtozE/a2VO/MXoCKS9tCoSfk9mUAcydoZ
EdxSaz8vhNPeJZYFTl0cNwXjtTSnClQ5NVth6qOY+nsTehHlewZFiveKdzaKn9AwpidjEHQ8m6XK
65t5qNpnjXZxfrBGKRtXUE3BoSz45ISUW7nmD0VHJCYxNH4LpR5x05QNcdUWN2xWTEUoKjn/GAtm
4oLM67Npt6btdjmpX7V61l6rOaMnPUuHUGHdCILc3rhtU1VxjcSxD1NpQEY0UyvfVpwBSIukFmf8
0abbkLn63sxa+ailtXBBMDm7s0Vit8Lol1+Dldx0EwR3YpMnMRm3Vab5FYGoZG2PrmqiuW1WR63E
iZnRcIbiXqRPn4axnn40tGGja5XQ+7Ga5LPgT6gIfFY7jHA5uPYMGrNQNvk3EMdH6sAiNvfBqKbv
Qm1du0zn4zi3uZ+r+km3qyPpZDSMDAVsewqYuBfWmzNZ4ZB/SysSNKoTcuqciDVHrTAOg5aFuA+/
GYru6/b7lIlgbLCRJA1FgspxVhYgObeY/RobQo0UJbG/sTRhR8BlsSfoM54yXsRhXEv10IxCPaQa
xIxx8uY7HZK3P3IqwIczMOd9TgrDU4hWnHBibTd3IArU64V6SsEj+WDbiTjovRbORj8c8IXLyqUm
d26HqhYHQXI1IihoPsoBEoUDp91XQ1r5eeps0Crb3Lgd7Sq5S7LYRq9dx2dgbNk6NX9QlcE6ALJT
4I4/grYNtUNtupXjpLgoF90bGF3zzEbMbm138VeaDLavy0E9J3prPA22lt9xoU6PSLtSr23qwasb
4pypJvpItuN834rBugNrI+jobCcp3Tkx20iiaXlQOysO6lzOn6y8xzkws+lOiQmEMmeiAZIwtum7
3avoneINftO2hXk3qQm5Hxw9OSgpYGKaMkESABPVfjrpSu5OcayHQNdU/mCnp7K3az/tU8W38waY
uaGa85NdDEjNzGb09U50twpJzXcjFslnPG0M3U2UcY6MNoX04pj19xg+0c6Qn9aCgpRNKLNZiz1a
x8VTxxQgmiitXjlyxiMAqfSoOPwE9YI7Q3FOqeyfOqgOubU2uEy09xb++YDh/dbSI93o7oQ5BlkF
5q9qflALGZZcHHF0HY/H8S/gvO2XVtEQZvsirLh060mcMwVccUA2PGCiwe26+CUb2Le6aTIP0cMA
UKQ+CaLfq61Q3b6yISyMNxsYqKXb8fZZKbjqUkr5GYxqXYhWaHKqkFZ+KfJZCVqVssDpi/E8YtL1
ucmrJoDuXio9mZfssa8bLaLzgKyLzmfEWRYYJrdOemd3fgm+r/tsMKtnUVSNR5KEBbMk82dc/cKN
LelT69aczS99Q28p/2FIot6ronPCXIyFZ1gpVIJ19bGkk0NDTCunD3guKPpnNlWTfACdYa5EedJn
VdA1s5O+TVWRuE1G5ByQTuNKyIBwCAV6kpWrOo19V1eWpJj8N5jfpxZ+RN5l5mte493gDqLIEw/Z
Io1SpJUPwFjyY4pIYbh0JCjMdnr6QDtFP49kuecSZz5kPVUUKMkrWTTFS1bdKyzKHJrdzUqmnLmw
ML2L9nIaQHGGonlmgRnPzblovZFnUK+rHCQ/8L3MS0aehAkV5TEdButY6oUdmCYXJ3TxezfXWXlG
w0D11GGUr2kmxYOWcetmzmXyYKasrtEaj+37qaqq2o07BXiuJDFusgIULocMeSVYM2l+HGi1IMaK
KrCzTih+yQp+LKSVIPsCAserB9WOGjO2D/iooPbNbfE+DrL/whNae5OSN34DxvnbdGnA9bH02wr3
2aDi3a9ngKc1pnYDGuuoNeAtALFioiZXtTeWztpBah39MSKWuaVu3A0z+W6kpo5U0sFYWK07hS/G
1MFppSLMyPitqgmEP8exfO9LemOKtP2WFEOK/cObbaY6MkZscIWLx3AixsuudwukuiC4VsyISrW6
01P5hUyyd7tR902Vz/Jg0vxXHUN+KC8bl1azvDVKqBfX0x2TIlQqK8KLzO+cAMLj4Mgzjn1feKNo
Q4uPoTUOfm/RB0PJn6gK1isSf4q77CwhHYrMJAsmMA4lsgzq3vlsQMLAsJDAZaJ3e8FPNoB2Cu7g
DA+ujJM3ZVJeSiWJcgmBXkND98e6zUX5S1aY9W6pWyI7aXPIs5ll6ccSF1UvtPtZH1vXGGXXgoWS
N/dcEPk11qZ49EukGjPTEg+RivR4SDTjTSlSy8YEjUIOSpZnT73G22iamRJmgzAzKOG000Myc34L
4iT+wEZu3bWLyKTUkycL0ykRH6UaWAOTJ5SprYMzMvtUWiooA5PmgZpNVCZNNKhl7o72PJ0MvCWj
kdrVCeAydi/swvS6qS5uZQZMYW1CV3WSpoq5UFoHCpMqCgBDOz3Pk2q/a5VBXCmm24l0T3FZUR/k
BUMARTLN651WwRMTklyiVn/FoBZv4vY217l+N2CvE+QVc3HokMx7vZk84eXxWSRmfdDsIQttCipe
UNa/jXZR+I1u4qPreMirYjyIcqrObPhhqlONZn3ivOUOBaRfy1sQQcdmoIGI55PGIJJcMpad+SSL
90HE/VOdzZaHy41yuHRjnBjPjcdiVLKX0kQ1waCMQxNHmY+JVjsHg2eGn9NF9W6uA10f7YgDF/yJ
M2Sl1mQobilRrnPjmFsYVNRzH43vTsejQ5rwCKRN7ygtNK7iYLrLHc10+sS4YfhGzecDWst4JxZ4
ywRFC4qgRcPykRfl+I1TTOYQltg1VIS16kxGdXwVUNP5pNU5+qgZ7Rvu0q5rv9Yozzxyzhd8Evar
rXUCgHlhWMtkxeA7Do+BYKqMe8JUHhkmgUDbWHe+MefmUxKLHK+HcT7MJXgYvRgkqadU0fC9SzzW
4JzqyTRMdH8w6uX8pHVVe/aUy8geiTip/aDe2xByrzHLq1vHCvR2R0XmZK/hdb1sp/8uR1/0DnVn
FMNo1aqHRzGz5rAVr3ELWjnjRcWU8vWKmv43RONjQW3VjUJRI1Mmp1HR5msX1fTUQya7MFDrLjqy
0Xhc1O2UoPGFj+zyBnp6+jk5FTfirXqR77WnHBEDyl25882yMGTRFkpOVMJ/A/Ev9kCZMjAVKmgd
TGB14tNny9phOdksCl8YWNX0q8nQajqgIuVMOHYmWpxqcdPGhT/Bv6/v8Wax/cLUaotJ00yY/EBF
33CGQO2BUEQWH2d76s17ZpYtvdiyLsnGLplRe66R+DrasZXc/eeqPkuBm4J9BhzQ6JSuJzeJjSmL
urMlUDaL5poS6FF31A57vLYbHDQf7axq9rhYuzKeYMd5plF2HCFJ+YO4LMg/qc+oSU4HO1jK5yi3
NZCIXpT5ukP9aa+AvumFF6tdtUkKXWXcaaj0FDO7nVh3g4rNzgzplh9C59MB5mAZRl93YnJkblDF
hYlyCsv2i9njoyn3yfT9ug9umAH/Efh80E41dON3Q+jCOWKnsquMopvvcHClAvVA+p+KXh5G5Z9T
ly2TBqpmLLgBDC+vvL0luGf7ZZguNS1XIoMaUx9yu9719ZCNIAlVbbQWgYkENZe9+jTpVNR2rAtA
+R7Fr/QBinnFbyFO7jEP6Qd9a28gMlr6fbTnmxvn7IPlVXcdF04MaVEskCkPjQnKp7n2B7EDjFqa
Jas+BzCxINdbkIrgJVqFp1bMc/IbvDefRszZJLcL6RIe4dH1bdxcCxgVIW8P+XA0vj/GDKfIBq2l
gCs1jX4uSfezbFigpWQPXbwB8oFXXBhaBSe7ISNoPIGHMd3iqICi/pD8HD3UAI/zsfXQzoeGxvWl
bXn8pcVVBAHhl+RmA9hIoeD8AtRBAEK0qdvNOyd4I0h8WNrKE0VMG0lSGErRBYp702Xm4fpSNi0A
XwzRmkXc3VgtpdPA9QKIF/50tLnz7DXuXq4b2NyrCwOrJXQooGKCGW5goSg49repVP2y/RXznb7z
prthugUVCQy6gOfuo7th5l+JqYqjowvAHUDLBmmRGpA/0ofXF7RnaHVGW1JkLWNLEJpKr4tnvx5f
UXbcWY620Y3UzYv1rBqshi7SuqmAI0uPthHIFLMouKJu6xvtvvpuoX8TGJprHApvcJ3nDN3zvQvK
Wg7oX3Hi4hesmq62oUIRJmWAWNioTuUJ4V+oEs8n9A7atxkcqi8YjAU2q06rW7RkONp36L0luQqV
0dkUfpXX39GFYj/RbahDReoPJptZ1JZ2E6GEPUZqZTkDqm6Z/Qhh1zlk0CDm3sDz6XtSITebSK69
ZWUJpEJf9b7COHvttLR95KlVPA/9VBzjkpY+Juy0T9qUpAcLXDXgq29kNGu6gj552tzOBS9ce7ba
e0bU9yQFfraBIu4jBNVrwB/AFDGiNfkZbb0GhUNmRvgvIA5c6uM3E2x+LmJLE9lphuo7hnSCTmZK
7hW9Ywa8M0y/K5o+nBs1vp1lDO3unFSx10x072rYmEhBmPvzOX47zMU1y5ns4oJaCHPP+Z24W0Sf
TNWjqatHmAq9WTRPTJRYg+vevn18IdiDoh5S1TUSq0xpb00UuHIAvj2tBBOArMHoJE94M///LK2u
JQhi1qiwA6iP8q9fZmrUZajp8VNu7crIbB5hyIwQVAxB87LeSg2tpGxSCRrroRFZJ+nbB3ZKffNO
j6Q3HGnId9WnNyZe8fnAabTguCn4rFd4IlK18ZyXyJJ6DBSVAD7WHn1Uno3TokUaH9EFqL9NT+Xr
wlq+oFKHM6YPpbeou+Jv96LLEj3+OtsXv2a92QMBLNbWZpB818cqWPA3Y4j+j49unvi0aCWR03hj
+cazGc0YdcrDOEAJBvNvaKsemm//4tNbyLUsDMmadI2PixOlG3KU070YJG0kLR9NKEOVbX+O//kw
9/IV/lha5QoWaYUFiWVEVQVlqfzrqENNx97jL970L4z7OmD4s5AQr66ISaLVqzIT+YGRR1SQU0FU
NJqSna+4eXdfmFldEV3XOVpi4u62EVb7DIV79O+vf5klxv/lJxcmVncAs1OjK0eYEILW7iCNc5eO
g0trE9hSPVRy+qno9R44/uHhuuXtxWHec5lI0DAFtbrPE1TStBl76MyOm2E+2rR2LGxGVHB+A6pt
A0GIOauPJsw2sWxeLIvz0pccd2rhLQKiC7199qqhCHwuQEHK/7HKhA4+NbwqwI1sAx++fpb1HLhf
o8bZMyLn0LxOL8VzfUCd3bUDet89LHOFezrjWw55aXLlkHFpcyFG3B1WprfuoBfnvnOSpVL+L5Kj
hXsc04u4qoCr/rilKR2adFaQrM5q6WNA0xfOt7L+F1nxpZFVKK0Yms4MXQsvLmLXNN5qsnOwtj3j
Yhkrz+gEep2ZhPOhD+mD2Be4dN86Ak71smCEW292wY25V5vb/EioAZqmRTAdsaYslr2wGw2FQi9r
1RtzuCund8Ux/9UH+mNkue8vsohRiAqgAaxMyc6iBc4eTWaHP10/uxtD1HDxi6Ws/K0wSUznUV/2
T/UGy11EbBmeZApe0BKjhXrA74dvexu4Fawura7ioUmrRJuq3wdrIVj43wLS3sN288F5aWcVFAFQ
Q58QmTDIWxdQK/qg/vhZInVIvmhu+vsyvb6fW7FwgdNCiQltfLxxPn60rlPUkphweMDc3DxX3WKO
rltYPsg6zgMPD7pscAgtiNmPFlhmUKVtufTShjNPScmrE1uPaWN8YVlfRqMqgusGt/JKiwKlbi73
MYQEPhp0SD2Atx9XPoYN/Iw+JfUtJ7rfqTuuuLl1F3ZWJ7lRtHGWIHnw1EkPxpSeVHVP8GtvKatC
x5x3c9ssxAQ4wa6jtD50EIEDTj2Cl9D1XdtbzfLvL04vRguKsiZIXIsEJXKqfyaVvfNh9kysPKHQ
aabL5VIcBKRHOzSe6p1FbD5tL7/9KgbxVDQKYHg4P3NQnzPDM7winKCU2RHMZlkQ7lbQxULyC7Dk
oSHBfNh72y6L+MvdcZQgTYBZFkz+fNxHs4pBEzjicW2Q2reqF20mrlPuXFPbRkwbuCgVAVddLVM1
gGJky0guKLrcgn2jXA3Y3qtpz8gq0kJrtZwHdUA8B2LRMV/HgbtD/Xbd7faMrLaL90k/QAkBY1IV
CmoycxuBSRn0/a6b2XI9jBWBdwO5GKidlp9x4d32UOOJbyA5V42XbOIuwGz/PwOrLwKCd45eNQzY
A8fooRGpjb2T3e2tYfU9FGT7U8yQAFUkOcWWc+ck9Q5B8+btaiM/WNj60fP8i85lBGujuuT99Na+
F4HxNcyD5OR49jtm1yAQZeKJNmb+9b3b8oFLo6uAXdWmzEBJgCu9Af6YiuaZJFnmWZ3147qh7R38
s7pVxJ5AnVsyA6PIkCN20+rd0NrgX1hAlxVcq0j+Ma3/0c8YgA1jDEyTpyVvtV65HdtpAG4ugUA3
BBUGAjqDlQFag75Ea+AEeiePnOTnruzC62vYmqGEGN0fG6szWRl5QxQFyY51m74UPwyoc9lhdVp4
s0QYVaf+ANmSwDhnh9ZrHnjYP2KeaGcjNzsllz9ilQllRp2Zw/IjjIg9KSCVOXfIlYv71He88ldx
R16rML2po2ynVrR9BP6sfj2/B8y/4PWMHQZ/2Fkg8zrofvMfmuX6lX6XrxMEAvdeN8t3W18bF8t1
VmdAbdH4B45Lel0hQgCz/JoCDCy7gDt1pInX6594a5BPB12P9nuUGE2v1e72NleHoUPu0gV4mtJT
f5/cLItE87W/ga60R7xE96cADUwPYjF76fSmF/8xb66yzlEC0phPSNFsYHpyPnqD3DnqGxIMqMBd
mFhtaKsoFpc23gnKwYKYKbsRr/kNoOB+fhsf0G3+WjzNZ+uQAjW9c9dsJvGXptdhhhQTBwBr8SDy
RkLzLCERnpzlafY1vwEVqOlf/5ybAfRiras0sTWA9gdcBwUNp0ElXHGLwr6trT1KWrLs2V9OCu4L
kLlY6P6ui5um0xMuHRt14nsUG4+lP35zPtkReEB+7tWkNz1EBzEtCJZA+rU+D1XeI1oDsQ5qRAwB
YDCi4o/XN23PwuoryV5NC6kjVE/oRiCpzgLMl366bmODAwdeeLGM1Zfp8Gk6whHFprB51bz5drwx
A8tNn4zwN7n4Tt1p0xEuzC1rvkhzqrTpgPpHysZ0zS/1e7P8ZU//YhL8w5qWH3FhRGl1mNGQ6gA4
6M7yBf2ZHX/e+zSrZKrp5WxZNj4NjY3a72aKeTAMw/2rb6OjfQx+PBu1kY/rIKkASIou30YSYFMZ
qAGSaoZYD4hMAcFOmmPG5jhsOwzUTcJWgRvXymczZ869QdT5nhK1iK7/pu3v9+cnrRae6p3DTYG4
qM+5l6DvVVl51Oo7VpY/5a9jrNsLiRW4n8DhuFp4w4UtGMJF3bAILE2/xlQJC9p27gzs8vUV7dla
5RIAPE7QwlnCMPgWGss5gBQhnHU8KLo9uYDtzfuzrNWdVhqWHAuxvMfn+Eea8+OcFscEkL/rK9q8
qdGzQpPnN4P6ykyumZURO/hGgFOGyvzTNh8XZNQ46y5A9tdt/QZM/PWp/hhbJyODZA204Jc68olG
us9OMWZzg/jeCtE2ufvn9MeIVhfWVnemXXZxzxjFC6ODMFEcKsouX8Hm0V6ECCi0ABd9oo++J0zK
e2R1iOuP4LIKuij2x5N51/iW65x4CKz9TkjcMghAHsbFUYgHXGmVajQVK8cc5ECeNJ+A33fH7PvO
N9q6FS8trJdEqUwlEI/IpYbXOuSRjJIHEJYGya5w7ZbvXZpa3VlMI4L3S7UO87CoEhvZmSnFUeub
GzGy96mQO0/OzWQYCBswby4ld9AJfPxcypBrpKozcHKcyeAZv0qkwrEfh/Mb8Ra2hxyUov8HMcHt
LQWrBUhFASBZh+as533WiwQU8SROfE1CIxHzcqlfVfqh02MSIH8/KfhhLrDQR8gZ/yy1dqc/tRW5
IOP239+wisXGYMs00fBZHRO4cmMej4LPp5xTwxXK1+s+tGdrFZGhTVMKEMTi2cgA4rd/2MVjCekq
qrCdAtn2afizqFU4jrPMtOelymdDE5zleKDSnffTnoVVeCz6cWoyHZ9uqsHYmw1zONd7rcOtSH/x
adZFa2Zrg5FY+DRUGN/yjB0qOjBv0v+5/p2mX9pZeT+dST1XEt5vGlnI6pBpddDMP65/+82O0KWV
1aEuqwQz5omCS/9+GiLN0wKC94LhkhM703v6pr+2u2jAzUBCFml4A9V9dR0Va8xwWtOMQFLm6T3w
ikHaN+BxNk+JBaZjZU+QY9O/QR9kWPoCw/2ratE2mB/BTLpntwHqLmXhuIZo3JnuwecW/13fl+BU
/a+hlX93GrSceQ7PMMlP0Ay60/S9TG4mVfPt8Zsldsqw27sIQhq0pPAsWjfjK47psyHFLurS0Tyl
VqD6JM+l5Rz7mIFJWNF2YtJyeP5e3h+Dq+U1SSLxWFnC8RHPL5A6t4F92id13nzBgh7pvwtbHeJZ
TWOAGZAad0H11XnTAnlwPBFa39OnBUKS+P8mqYKkKlBIIMdYrumP94zWmaibJYX0SN55Rv9uDS8M
JUDR4L2ukp0MbtNJNMcGZdbC97/+bCzJUlNiZslrZBYpxqeWZGEx/2jS5LZIe68u9rxys6JGDTD+
4s1sWo61uksY4R2BojB6YOchiDHSlQbjQ+HjlB8bb4HEZK8z9DtAKOhhxgkVlzRyfPlzOOzlX1sH
EVVd0JIt7Ql1jUvoaYqZUAtz4Tme1GwZ/NO7k0pKbyZP18PalqteWlq9fI0crxwKVkYPkynfwQEA
RdQU3M3fxy53nanAKNF80LRP141uXT6XRpd/f/E0bYBvZrPAPlvgU4BR19q7qbeuHoca4KNHDQSi
Cqt0cm4yzHa2GMCoaqB88FrUdAEqgdm9vpANF4W7EGwR6JQwTrJKCBoxUqlDTtBLNcWTcSSUKDYe
Y/WVMhV6PT+vW9vwClhDigdYkY7p3pV7tjahKLhjUb2uvqiKdWuPE8hJjG+GGR/+hSno44KC2oFO
6JppUjdYyaYedDs5mnM9Ci99jGnRtnadbE+bZHNVaAIjbV0eHGvASA+cawVOS6yqYkc1yU4ol9/T
JgtNbdhJerbyZMji/bG1yhRSnHqMBOF7GdEyaI+YueA6YrBBWoOnfa9f0YkOIPXiX9/NDW+EWQrA
zyJ58ZeAs1XH0hrRVF248ZWoSWr2BWp2iKKGXuzxuG6crQ+2VneCrqgkTSfw2jlj9s5UsPtke7q5
102QNcGbtAgEW3NwPfTllyF+VaadNHtzu0AOaVq4aTBLvvpKZVnkHcBseFakPKL5fIMu2LFLmn/x
asIr+o+d1W02a1bVZRl4yhaifwVtC8glBlRxFekWrvDruz5i/pgF5st1d9i6tz8YXgXdLk3RGea/
DaOVML8u8pDJbYJRXsiiujTMgux2F3S2rGaVlBiL/BXU1gA5s+1VUqIqZQkgBigIIdiEJDLsIurL
SPte3plejRGJ62vcjIw4TeD2BLaOrKcKaOzMM7DEWJ2ivbbirRNtUA512Or3uSq8lic7Z2wrP8f6
/lhcRcdEMi0vnGyZNcxeUsPjT5ZX36fP/WnwAdEvffJ/SNA3jwJSBnMRgCeYtPp4k6lFm5ggEQH1
VN96A9ibnHzHSzeS16V/aCAf15Dqra8YsDGooCYBoacFthE9xuveLsK6CVXzhmfpziZuxuILYysf
KUcxmU4CykOzeRugCjkN4L2Qtc/tx+vusb1vf1a12jd038FTpGFVqpKCfCXPZ1/We82JzTjiLPR7
GpK5vyS29TZRNJZg+g2gMK8tG6/INMAwrH+zaRdmlrVeZDPMKTWOiRAkAeNwkjY68aoRtOStJ3sP
3c1DdWFpWfCFJYUW4yghWe+V1XQocKA05sbjWTFir7ReUjbtHOItdwCS08SFggfhX1q8QyzV1Byw
gbHDQ639CgVUUNa+Y8hmZwu3vtSlodUWCjLnteh6pPrklFkFONUS6IW+XPe5rd37zfVrQSsPZLyr
a8UZZGdlbIm6fKEGavC45SmUuln1kPH6kXJHwQyXEl23ur00MAz/x+rqknG6alJLgSNl9P9D27k1
V6pj2fqvVNQ7dQBx7eiqB2BdfXfamWm/EHamEwRIAgkhwa8/g9z71LFXOtK9O7pfaleG7aUFCGlq
zjHH9+ymaIN7oOAA/H6MdzeU15d2sqE4WPwQQWGQcZvchPB5RXNi5uTdD12QPPzs78F9+iioeW9h
ej3myTNLgc0SROKZTYu/H4OpK9xFPKZtdOYrODBV2vngGL9+4OkG9nrAk9kPl5BwcVLMRm4/CXNH
PowH3h3A99AH58JCGbHo29fLnWwZexJhWtfABXp+auD7SLl/RFdKYRr4LdZyNzrNZoGXIpE/HKfO
SqqzkD7//nG+O2VefY+TVVgqE+NNQ/DtO/qAvbNtp20Ie4Tfj/LO1UJjhZyIhygr/qWV1sLrUajV
ktihfd4EmCAfdSe8M0OwL8JlFmcj1BBOX7hpGbjGooI0yDw+TulNikSwXx/9fijsYD54z362z5xM
D4yG5uC1LreyPt8+vSZZvNgZ0AgvC2DKn1qadw/xGVTbTUbzQRZsyuwqRtl0eZv5R/uC2slfT9vi
KyQhAdAx9tGU//YrkKiuWoviXM4cd74MomTeNH3Ft79/cO+syiEak5FxX+lHqCudjNJReC7GODCJ
+dELQVDGs/O9SzkmH8yQd+Yhmi/AnYh9+I/90rCkJOzSJ4QBeed6WI4v4KKJG/mBUuqdVRm9/kBg
Yv1H7ee08wc+XdT3G0x27c0Fjs2wF/pi4TIEh78sWRq03H0gnju5KrgeeyiUQK2w1lTDX+Z92goo
Tnqw37h7bepPvnow/fDBRDidjL8McrI4lkSkisGSJ/c+tZ+nAsYtG5i+wbrzWG38h1XZynbVDqB0
dlcDJVnAmuqj9fmj61x//ipYQHnaM4vbqDxOYW52pdr7eProPL1uma/euV8uc52qr8awo02RQh1U
PtHgjEXBFw9Uiph3DxF6BGFKkc1hPGXTEBVVbT4PqXf9+1fhtKfuly9wsmRT0yJHGFiZdwd3Z4G9
ES2MztMNzG4LIMeLMLe348ZgF+w285mGvmOt9vXnH7ue/0wp/Xov0E2IIwiii9PVzoc+suvXedUc
kqN/DG6n7bzRl+3GuYSr46a5wqYybvxtizuDo+aHRcdTV4s/7sVah4NpPiqp0UlMzST8gE2JeyGL
9jK+QniTq13wgD6tDWxWgORh594GpQO4QaMtfjdszV5+sDSdyrn+/A4BynnAy7moR76dEK30fMdd
aoUjtZubz17RbJ28PVutNSLwO9trslkbCSM3+yjYP9nO/hh5Xfl9JP2Q8Du5+rSLYDzhVZju1r13
Fx+mYWn/+ffT7WStOh3DO1nfqxCBQSwkpntpN9o2ObJZ2YJ4qylfZHDesT+m9//5Zv+jehHXf8we
9a//xL+/iX6WtKrHk3/+66p/4Z9G+fIyXjz1/7n+6b9/9e0f/uuCfpNCwVP99Lfe/BE+/8/xi6fx
6c0/NnxE1/qNfpHz7YvS3fhzAHzT9Tf/qz/828vPT7mb+5d//v2b0HxcP62igv/9zx8dvv/z78R/
defXj//zZ5dPDH+WySdFu9Pff3lS4z//7vjJP1Y8TZJE6Nlbyzl4Subl549i8g+ckBFqIxNL0NW7
6ik5mjnrf/49/AfOgGiggUMJWOAeGu/+/jcF6zj8yCHkHzG2nwh0jtVTZC2f/78rf/OM/v8z+xvX
7BqShFHhk9+siejcwgENEz9O11NG9IvBEhr73EFUw4y0M5Fi69lwDI8z80d5hCWs+BCH/DYc+HO8
NfPhJy7ALKfrji51Py/Uu1mTWAaaNTQTj2frDhNs1XmwdSEN7S7+ItEEp0Escrj5EUgCqMyQ0/0t
JX1Vjr3KSDfllXryRvxfkeZz+BEe4SSIhJs68upegHZCPB4XAoe3K4qpWOIkg1BZcIEy6JTJQ5CH
e/XiXMLpkoTZ+Hm+40d6BW+Bu1dz7s8H+/pB/joyUra4UjQagsrpnooq4FSmEt5hZJgteuTAfLh0
MgsXiySv6774/WCnqekAenBwU1cLDjhxAvZ3EtXFCfWDSeKOlhfh1/EOhFP3s3hE2WlF8dnNeAOn
eBeeRB+C4043LowcY8/AtoXMOOolP1FvrzbxBpJ+HtbeTYOiV1yYfDyv9qsvF4inBbuIrukhPZor
AowAxdL9+8t++7JEP8cG3BdtZwBSwMvuZL+o4CBbOziHZN2IM2MTwqbVQcd/RchHM/anNdCr/Xkd
asUvYx65noeXHCvQ61glbZcOSev4q6S6cHkj4UNY71uPZFS+UGLg8+af6VXBOqgN4d7WiW68djxG
jOQB/CLnbv1vmwX8rgxILtNPY3vd4V6hGQZOMPkCguFCp8LDlkBhaDo3V6bHngvT9bk1hfvXHbng
24P0+AqPh9McsLtvr0doakC3SJF2HAArEN99tSPuR/v5yTuACPntICfPx2Id1FNbYurteuTOEK9+
DkUWbzvos8NHrTbBN3aXQOWmzz46TK0b9qvn9cvQJxv6wjqXVBzX13nnKUq/KaRUXKaX7VgXckg2
OMRvSuevS6neXvHPt+XV2yDaTvfLesWI3J/SbyVyUmhniC/9TxLWqTQLaCZXtf0Wv/L7d+G9e/1T
qxiBo42C98m9NrCcEpYiurCpg+IXyyzpMi/4OnZNZmGL8vvRflWJ40JfD3dyf//HY/f1ck6f76vx
TzWT/9Vg6k0s9Xo5/zVJtl4wnDcSJCTwv6ccxXIcl4oNkQKfU3aIzekZPEE3ybk1RfnNL/pdd/HR
HF43p1+u8dWQJ5uXEmVdle46JA3A+dgvMHn94DGuMefJEFAIoFkOCzhMEn5qGl7N16Vqm26eEwX+
TM9gvia9Y7y0864VSbypfWF/mKF6Vss0ZkHUbUK7uB/k8hHWnC7jgIHBRjFAXIboB4HByVwCFmDs
a9MOG9nM8L7G6ljznufC6pAkWzRbTgrG3LaKUfpxlJhSlkntzHAgnlBAaXWeOiXxWVEJ1sbkPnZ7
ButQJ4UMbixQ2GGzymXSBFF4kHW5JDE0SQr7KD7aFWLEnpFWzMkMNcvUZJOdErfZoPVY9AR+bRxW
78XsBJzUO1Cr4NaPogaMsW22tEBO/EgE7P2/zpXXVw/1kJjwzDBRVV9qPbjzTd8z1z4IblqI5YjL
HmTZUprPomx2lUgqAGxlWPn6pQQ1gIxAOgwVNxnMehZctAeJ5H1tYU+eZG40wzp8dHTpnqMzVMsR
BglJ1N706EqMISyZYBlf5QyM+mqDBOAox01S45ZvhIJ7/IFJkB9IE/WqzV3WoBWi563gezomHigI
gY3Kcc9SX9qymJcq6J5ZOKbB1quonoeNicWozC6yWrp24wU1IWle8X5wYCMdkNqFK6roNTZ+aRtn
2Qmrlv6T5/RtdYEuWTiNbAI9TG7RMT7txSThW7szuEB7pDGX8fUflBmIF2N3K2pYXR6qQIRs6wBH
4lykaNcyHaTyuo7uLKfM7hqU87qiC1TVbmTkpPuffBAm/bA/d/sOScm8BhAVEGJLIh1dkdYDC6bw
+nKEU3g5BLDd5ymE6yLnTVSHl4zaprsRLYvFTeo6MKq+D4OBN/Cu8hkTOUAsaX1UUUWGc9dhU/dl
4MwNnlhNFqu2QbCM43CIuL+Y2w726yF6DXo2AEkImEYkh4yKauycrJr6iMgi8MfQogzeOp5nka0a
k/nouIaG10nfl1ZlGgBnOH4iYzdwLxuXlDpJARDEQKZMI4fYPXg9PPpeqmAi0bOAT779vjiNHyO0
FenMYPJuUD5IspJMCvCcqvWqAUbDapHlAAaHVUip6gnw1hcvGoxgWYgZoR5aVcLAIkNRzA95Ngap
rGiWgFQKc+yBB6mNi6hCQ8hDGygD1AwlQ61fuCzd1IFT64D8c4ZJgm8Af3s6Dg9+OzXxJzF16Fbq
+4DH99EEAtsEf8KugS++6oPhvJNi5PCPC3z9eTL+JG8WbqSHKH3hKR5UNbfPgQGx49Kb4r7ewPQH
fNFs4aU4QC7UgUfTlM7q4WWTz1wyTRvAUoAAgvfMOLn+hsIdKjI5q7yUuXBwd/ohwdUJjmld9iiP
0RzVQJskYJpwN6C5xFbaUADcIGUBqHgiPPI2hns0Qs+GgNdimANI4erw2Kk2EfasT3xMsYzT2fPn
zFfVtEh0mgg4YGca9gybGXbHmdeJc2dw7oelHBIKB+GqrVAH0H7FH7qJhs03GHiIcDtEoQPMaCvr
ib0MjaN6fGY8w5M8C7RwhmfVa4f5GYRK0v8Ryr4D2EqAswTgihijETSnDhonkBzHYerHco/Gedm4
FwNlUfPFG1I31ftaAQ0xbxXvUwVlmgFblW9mZOSpzMEt6TlSTXNPlIWldbQM6caWQxOD9QSHWm7h
dQ8WkjhEVYlCZu7WpjHkptRB3ettWye0VDfQgPE2vERlJHFIlgZOqK9tP9gQL+kAFMZ2DnlNcqMi
qqAlGKU/Xi/1XDmXgUAojCFGCvaujWbCnpEeolnYYwLpaAFmi+rGgbaoinWiCuAVvELjLeEsn6qo
TnPUL9RnPQtV5q11U5KpQM5gPgRNFf6Y0r4154nbh94n7YUj6lAVlF/AEMGUMj3QIenng6grHfXZ
THR9SEwbI1x3OIAYroeL3KbeYtStW/qD/m7TYHCuYdvv8GtmRgodezRfwkCcAemBPPUKcWDOXctb
Vj9wwL0SGeNlTCWJiqGPVJqBiPRk8cy/ENEAo+y1YAkwMAgWU/1wtPgaMHupp6SCC4qhcPIG+waz
LRnLGN3iNdBb9aGF1oqceYZnA4naMi9xO9KCVcBrEEOOEQzumztJhCcPVIBsc8EINGG3RPep+8iI
M8B0OqxS96IEUPnYjV1A4CJGmB1XlowhZx30Vl0HS32j6VFaC7Jq4+m9u/RJRuL6fFJ9v4lgvL1L
opodk0VPl/M88XlHJ5+Q876kDfbRtJz0S0K88tJvGmcbD+A4PWt/6h0so2wGAUzCYIsvrRNhkx+H
u7Cv5w0DFW16cFnSeJe8r5diEv29A6UZAEROhY5dj/DxIpEL6ChG+/U1FlhVfsXpx7QvqUzq+tqG
sM55ifjs2ns/7Ow2aVL2HEgW7u3ULDuil0pfDJVruy+emuL9oFp77kzOd6Cjgvm4RNbpD37Zev7F
OJI5vnXU3G8BvwjLc2SVaPqNNtLed0mp8H145V9IwKvkLYQRI3/SdQzHeNEsPLpP+ritL6ZAwDqq
L5NYnSWy9MuzsEnUQzMuMMOfOZoDxsQ4LXzJESbsahignUvbXQgGrcqo7THWLkzNh7CNz8CRnkwx
VTHdK5jGn0/IE2wAYmJVCxBWiu3OgWRsPItgtzt+teg1BfHCw5GkJWIY64zWwS1vuQ4fnT6GJ28O
IeRtTxb4hrar5Pt7NIMWlk0Quu78cLzmvpJL5munRVPZ4tL60EVYIpHKj+Zk5diA7RMPLsz54eCO
qd6OF66TPFJ4W89naHNpsTqOqimDF7dfcSe9mP36CXzxFNb+3oT7PjBO0EjG6QaNawzbCvadRd44
SIct5IB9liTVFvOfWG8fwUMYzgKLSRr5Y0pm4750yrcIpoDIDM2zC+ZZ9FS1sBT/7k160FOxwJcf
9GMESahC55jRAAVmxOlaABm4mLg2mYgEb/1tJQOBfXyENWTKYYU/e/auJn03tZnCftiBgMHBuxuz
uJcQhcGofKrmqzJC5qLJR1YOY5ULBDLA+wDx4h19V8H+E05apZfyM5+HMEPIdCpSAaRD73elzYyW
OooBl5sd0Rbw1J8aOMQHs41/dC6M++9aOcJVu2DIwESyIGiyoV+w4TmWwQilTy8UsiJOUbVdPPub
0BDhiIJXci6XHWsgOelzJiCFjnJ4A3n8qi6j3gcDCm/xcFWJaaLQ7yalBWR4bKYlas5UHTQtjDsC
Z5S8qMOVCWPdQMnbKawWQ3N37HxQoAQMJqYzIefW4YWbousBJVOhdX1tQkc4z208kZXDVEX7xdQp
bAMRjlbqU1zTBoA6gpUjvvRggYmzgGIt7gmcFkoOQUwLZFj5XIaxk7AN4jACL7k+abFuZ24FI2kY
AKUBmKEx2IXfaqczl8mMoHrCfdJ9LlzlsqdaTyYIt5Nb+WS/CFFPT5KyadxFSpixgRCX9RwwH9z4
8lOTQqEVwVMweUwbsY42W/FjGXBYfAzLShfg4cQexLpVBIzLKG1YAuozN74tvKqdVlIfp8N83YNy
ODC8UEncJNmUSPE0+l54p0E1AAyGkgA3r+GQgCUB5m5W8aC9Qggz5nhSCLHqlsuebdD1O229WenH
yQYgasAPMe6KpRoWcRVUSQl0oYM5mnnCZ9UuTrRqLyPjhvSqRmumdzFAt2JeltIMoMNwWAF9apoB
Z566i+L+ZiCdYJjkvvXNboz7CIAi1sXpgaM3K0DuKhm2secDEl3MYDG5bYHvHdZ1Zown6UbXjQ/9
K08d9ckB1i0tWtTWcCMb5l8NpWqvfRxrzhoVguHlOYzdcbeuhiu/81QMNbzUvZdB1zVkCky8gBUp
zFXhiOqWPRUZFgt//mq1Yx6DKaj3jYUPPziIQ/p11u1ylFWtLKIEP4DHqrHDbhKkuXKq1MKY0wbk
AmeP9EGVfX+b4i26Jl1QnwVlVN8g4V4CruAoPFKgttn16Hqiy1gqyvEGyzU4Hx2v2SXcAJhYyV9D
uVOhi7bJNch3bAErIts/d3UffZYANcPCNoz2eAx1C3qDw5IznURiT2c9SChrhnkogmhe5KYNrTkC
ZzPX2TS6sJjNFNLx8UF4Cu8wEljjpkS29walQRneBPDNtXMBxGX94i9zehAlTpyT9OMiLDlcaRXy
v4UbtD65i9KkxgrcEbC3cL6MBnacVY/zZTFx2elj0PXEXIOnR8LjyOqEg0s10DDjKkydg2OgEkfQ
7fUuIEek9i9rM48wsqOaLzj8LoDSkSacH3Ggg3Xjgg7xpsLvZSxOTb7g6HbmtsK59YzSgF51cbEA
LJWHMU6bOIEFWLgdUJercl5RnENfGpBKIOPuM6CahqAF2ilWxNyZKpJ46evQJuXXcYJrGrrlRjnT
7zROmjjJ0Qff6m9RV5ulCGdfjYfEBhVrigYneXPwE+sPD6VsCMBw89BWIpc41ANLV+tUvhiXglQY
DbG4jUVkdxTrLTJmOOgcykFDEFhnqC5M6SbGZnGoyUT3MI9X2cQn1ymoqNn43JOZUX/fITGkxXFi
ABqhjIi1AwZ/wB9h0UgM0rlpiE3vnJV2inFKGX1e51AWhgaJDFf5nrPVaS/sZ9vhZAumURi28E5L
PHjLWEmabtu56extrAA35Qg0e5txA4MwvANdjRR/aeGyRUl9Hq17CvyGRfAJvjqQ6UIIf5gHirDG
Cdrmzk1tdR+45dB+KqXqH70xmulFsOgylvFWun5/1fPA0d9826ftd/iUz3AMMV6IrQ8gsQ6X1TqL
5XBNJB3hrKhT3LnC75L+Mm3Z+B0OPy58pQf+xUTW3jXKJofJg0gCLi/NMSVeMmBr5OlBx2UJR+RG
Be74PLTTAruzxVYAj+8cSquDwJRWSQF+EZNIVAze5PKMMck8eCxMrOuiDP7wI/+h0cPtBhkFMFoj
Scbq+XMUjfy2lbOUKzta4YXN29jrwieN4zlubKzAOMJ+nUJYlBkeMQ49BZpKzAubhIWZV8hKgrhm
CVocLZAoNrrNHRyvwJSpNQCICQCO3YBsvnFoMpA8NYD4TPejlzRTHlFdYxepBuUO35sJOQp6QUI5
ErWbYsxHWyBdVPO54HNbIZeEc08lH7A4eDkhHczNq1KCZfRVKASG8caAY6+RdpmJc3SDDnGJ7jz0
NwemwOLoQ1tLy6+D8L7OPK4uDI2S7ZRwnM9M5Fzj9Ob0OaXc2ZhJtFuYYtc3nMcBBGmSILEwvRAi
680CWeh2kKCzZZVNG7B9DAzpU4pdEpWtTWCUv8UsDYEHruNxM3uD2A9Vh5Y4E1UHWYaTfOAVGOez
ckG4hdfXXRkGyx7bNHL+M9ObVqT1PcqrDdhxUOpULCCHYRxAt6NU7D3TkiIKjblznEYeqiXGvhG5
4O7lKS2RDmo8mDWArblhHvZSvzJ9ISMzykL5yhnOuiglY1Q4U62X7cLbQJKczpFF1BzC4/OLC+ge
FNZOJ1N1C37cvELBkJEhV3j66QQObMzYDHAVirYtP1cM6IkC+bPwmDScykLPi7Opcf787qgmvoOT
SeQ3eULqIMHJsNYIYz0HkmoxknVx9AOgldEZKCixX6YeRecH3XCT4rm5laieEKBW0CeVk6kGPIUQ
a+sANlOUQnmuaAuH1XGU/fSjMol0dDZUuGU91l1RfV9G2t3G09ClOOKq0nH3kWsc+8kHbHZALBjC
zg1JmhnuND3epE719QVOPMH4YKaQ0pc5YlLIoh6E7PKBU3VPeYRlPvVkUBeL1SWXR6tXp64c3yiJ
kgzBvImdi7GyYv66xNxJ+T5RLsVxInHwwvZYM/2hHbNmUW78MOGVs5cxDNdr2M5riB7q3CkX0U3H
2pYRc/OZJTMdNhTeWilEs03nRvYCeacoXrJIJIBMKwTCab4o2Pd+c4YJ8J8qdT6TZpyX5ZCgV8bc
tTXWMpFpa2dRZwk3HkL/QMNxsqhoOajzvg97xPKrz71bIo+LLKHOk24xyz7REwswJN7lmL4gdzdA
atcyGgE1Bwl9Muisk+2yPKEJgfsCMy+gIchSWHxK+G7jnbBZhFxh2uYiCUfzAPFIivF50CXJDA4d
kLuHhbRA4sa4P91BSSS+fZCSNcwkgdhGg//nBtAVgAFLvO3dnsL9gd/VJQL2XK1h8NGKaPC2yCMY
kjvBwpv7Lg7gxMM6Gb8YBUpwjsayFthTtLbU2IBiOx66kZfkbI2dgISicfeIE6r9ggRM0N6Po5F0
2yYtuFKVtqb7VJoFJvo+jkKYfcGC/cPpms5YZNwI51mJOgKS42LysbrlmvfSOfeYB9E4viEJzmjT
IwvnQUo4V9lkuMRziJjji63bherC1GZCwcvINgH3eXGxvh4Vjt0C5zX0Hm+AT5N0T5W/2KduYJO3
iUkfjzes5bbL0F7u3km03R5GK91zjwTiQcb9El5685Sa82mO/Mt2jofDAuLnznX79EcyVWWwdWAp
gJMrbNvx3g508PJwJm55tVDm+xtkc5M2Y165PDSUMrge4oCa09hFpA7SskXoacLv2iwy3AyDbmBj
iVQRDHz9EWm3xEbRM0tbi3Qo69l+VLSGyxR0v1ecdfqzqkQNw/VR91XWqAYwNsTbV/VQaZ63Po5A
RanhRs1kiCYhEdZIE2unB26sX0hwq1GXxJbXhdNyowWzQV53ajErqnd88CYCiLpTl/F2GCP389Km
Dcuwa1T3rSYGtfY5Fo9LwJAwKePAAno8wMkAKczoB6WE/+BlCkBeqQVSQ4HbgDpR1me14wFSRLwl
bBBSdIj3RTX7N32c2AucDNxMCCfYxIkkAIAj57Sbm2F5SZMBqOEU2bbdDDD9/ezE/IE1wj0v/aU+
l13Z7EcXAklQVdLvC61SeAQI20MP3bAFElu/BGYBu5d+DuKSAn3uLgDPGrS0XkcOTF0y2vUW4UuP
sHvjDzj7bf2gwQGrDiKktrCXtFvVT6CXE1RFqt0oYwF3+cia6d4dowHkZCw439rWny5xKkGbowvB
NNJgcKIsFuGBlpS2BpFL0Lc+UORoTezPJp+58aZzh9k9m6NuXjaOGH1s6IMPxDOygSjVBHGta1Cq
UQ3aL4qA1MAXP4KXW1lOfCMpju6gIPpTkdQDYgGnFhQPGoEV2wYe0axoQLoExkzG6XWLc0fha4Bo
QbJU9ljzyOmu46Avvcyvphgmbe3cIHx3Mc0yVflTeO1GrQ5zJ9bGbuoyRRY/8ixe0snVXVgAc17b
m5IM/fgZ6EqiN8oTeIheH0CCW1YgglwtsehCBC5Kk62mtZ98SkFnJlukiOP2K10aIW5GL+5AdQwc
Fxl6X4AOinXZhCt1z23BFvWaJKDfu6rX4TZQgXOdRsh61sdJ+2DfMqNEWDiN29ePXaTB2ETKvTHz
+bxgf84FFsZu47nOMEQQfkLZuWNOKTXAs6j2kBAvwMy+I+HY3ZaqFICNqm4pxwAB86zPZ5D6zhww
lpM80X5w9JZhglPzUnZfjITl5X7kAb9wZljP7QheQbGdUPhEe4ZETndjJaY7/nzi9efWG3qbY1Z7
9Goi1oGwsSEDMtqQggd7oht6VsFqPYZ5AgWAuwk0POSaBEHJsel59w1BPooTPhMmzppIoqhm/Qpm
2IHR6tLxmwhIxR6b4IZTHzVir4tNvEFIsXSbSWgoAAH3xiUmPZmO0H3yazrzBFhWTklWz0n15M81
zogz+FJ+n4kSYMzjSAhLLznKOHGWLh6sTs8lnkx3U0HcxTch6ak6R7dN+rzQGJ4xMeCE6kanOOR6
vOQwt2oc/V06OIgh8Ydj913SDiESiQRM5hbBXaiwfLhorSLHThIDkjDWivpLjGYNAM7LFHm0jSGB
6p8k/hovdI3bknz9oCh9ogsOkjBMYpiTemBZwc4nONHaxC336t5C1jMWZtM/sOO0dy6cY/nsfCh7
/bXv76dgY21kgPIPxecT4ZTxeQMOeQSMJmxCobrpsV0TZPlb7xkJyD1DQt1bxr1L592g1I4rxKAo
YvEXTT5qBz8pg6+SFZiUQZMT4ZlCmbNK9V7V4o0H8HMwQt2rqffouPbJbwCknj359Pv7+46sgLiw
V8c1o8QDOePbcSDMmxD0wZpZxeXtgBeiLz+yAvloiJMnWDegNM8+huhS3R+qVpb7xM7mIxHKO5oX
ArIMAj4AEZJfGujTaBxRjFMqd4/TlJU3Qa53CdyF0ZuaXszb9lpcswIHoOSv6oX/eFaA1cHKAulI
LCFv72FdO9pRSuMettbL2pJJJIWnD/RT797FV4OczE2/o4EEyncVJftAXz3DrSD7/VR4d8q9GmH9
Bq+mnC1RE+EaI6AevY2QulqTU6T/YML9anC2zmwAz1adoLt6Lb0dJmYaIk0NFQYMb7cyINcMjn9D
Uu3bGQe9uIFsQbv2POAChST6aCZArHv2ga3Ku3cTDsQQ9mJVCZOTaZ8iKYecxQKBlDmbUSIF6vv3
N/NUvv5zUhCw6vyArDLyVST8+m6qZUR1qISYJnnkfgalm1cMu8Bg79jTHTtg//m8XNRnlZepL+Vt
98Hb8N6zJEhP4ewJX+L4VAJaokBcckTe+czBdKrQLZLcW68sfn+R748CyCa0QiHs/k+ucTCBTOH7
tvaFNFBx7NE4iPrKh+3Y68M41SUhG/TvYU7UbAvx+rDtMAxiFTTX17m4r3bNJUrT++CDefHeFYUB
9NtgWaKDKD25ompegoSxGh0981laloWNL0P9oV7uvaXq9SgnF5TGNJxQJcDs+8bveo3m2xyJlqhw
v45Pdiewkz4m237XH+n2IxnZ+xcYwsoEUuSEnKISOiMXlxi0lvjcXI6E7exU306j+WBmnCqBf07/
MPTSGB4jkAOf8kdIwB2pPQFrH1jxkn1yvXbUKDjfxLf9hn+h58P52kjT2by+wJHR3Px+Zp52Tf05
Pm4y/OQg1T19wf83uqbeUSUSeIz++yucbAsUjnXGW7t45mZfoTbf8GU7dsfBP6vl01Spv9aM9ssV
n2wQ/71mtPckgq+vaV1XX+0R//OdSe9+AWwdyeorhoPaOr9ffYFmMcymAq1o/g538+Bv8BLt+Rm7
T2Fh3T/52bjroWuXCBb9fXz4/ax69+WJgBnBWhTG7k/v31eD/3f64N62YKy0AgS6CdoTfB++WNg4
3l5fBA9cJWZIlaEp27LGz/kIHbvpMvlhx917V4NWWrg6w3fFx5Bvh+pCaAtoi1Uo/FTfNd8dCtgp
yhNJoR9UMRymCuYhet9++f09fHdjjFxozaFMjgEcOHktWvm/1df1897C/w6BLiZOjP7etxf83+rr
+jkHTjerCOyUBCtPBLOSk9dwqSqkUBP6x8IHe0c4QNv9crnC96qv7v4j1/x3H+Kr4U5eSFVjssCe
B12AUp1p2d6Vvvt/aTvT3biRJmtfEQHuy98ia9MuWbJl/yG8ciluxZ28+u+h/M64KsWvOPZggHaj
gW50VGYGIyMjTpxzBQfjwnjmrBkHvheAnBo8cYKvZKHj1KWBmaM5eDGt7/j401jSOBHHDt8OCAYU
nJJqMqVb4dHzfzF2OPf9nf4EIQEAcQkmOBroDzRANK3npr3P8pzS7sKGiuOm79Yq5AD/h+Omk4uI
HmtPcQd0OfP7mvBZ2HT5NFQGS9dirr0sdjkVjsvf/JwFh2Fp/jgan55wrkoWdeXRGUsaONI6948Q
Si1NPLxRWIurOLUhHJwdFDTXSrmc+LgerH37ql+pbrpO6Ad8nEiR7M/KFsqRR50m1I8EZi40KPfh
ul9PmuxLA9NzExE8X/6sWDjdLB/79qiz4ml4tbpLIG7U78s75nm8fIHV573HMtcG0kK3EIeEX01Y
uEY/BqIus6ZGp64s48qEJXr4YuQfLp+h+j6dmezYEGQxk8iVIQS2Yx37ZsQr2y039ra/Mb/eNrvj
Wj66indYA6i9shH4ZBB973+wmWspXfR7lWQlbwy3hNtwKZGdyfCmcSWI5ZilZUZZHBQAHBHmmh+0
HHi5b35lz8pNs0XRYstjZwdz61pyyTQRiMvWtBlMxqSX5sDEQTu+4bOfIPLNhUeZpt/0E7KGiUlK
9K9Tlpt4/n7K5ZPekzfk8ut84QqdiZPndoUvNqdamdM3phz9aO2t++Q5dMEuXNkv2X701Jcj3u45
XzqvBjHl9gNIjhW/48paYFGZGYM5/x3CVQ7OmiENm/Wrxgpk2G2wm9i9a0AaG3OF3sHG8ZbUFN9f
RJPJSQKemQz8UfB21CMGut9RC4U/869JqtAGgNpBKYqFF8T/Z3F/LAmfcEq64OvAtviE7W20Mz71
MKKme2V98AKv/R9wYL//kM+XJqR+8ZQXHSfUQBoXL7Zyb+fRNnG0fWAs3D3vwzHiyw5DNjzLGIUV
S6pDr9W2nR9x2yK/yp0Y9H+5EC3mTDDpykPaIsF8N4I6anlF/6puEbSpXcCVbbLE8zR7Po7GjDVj
Gwo0w8JH0JPQdpSXpvOh99+/Hr76Ww0a5chVpc3huXpeZsmdedU6hgN7MvUBKFcY/T7PIOuSymOT
Ga0bR6vhqdZc67vzXV5nXrB2XGNrfqDbVL2qr+kPlUj/D6wwBJxT+4L3p4UumXbMrMTRqTf9UVsz
yXA5zM99X6cWBK8HYZKBsLP5pK3hGowPQ6x1UK6qo7QonD392PMb+3wxgr+raKYfDwc2s/YmAOcv
azfx45r79ppZlZX6Wn4dPlRo5yxdznPf2ckSdSGXlRtTL1sFxxmyj7XyIAe/6vRXPXz+l40k30Fy
Q2ecbdrok7diaEVFbRQtTbOjcptH+a3U+h7O/A8f2vQ1/5cZwSOrKo8Thy4xiXm1TrTgJVikqpi9
5hxgRrYKOe309D1fStW3yQEBjNYNeSJ+L/fFJnd70KU6Kov9I2At6UpdyZ+sbtXHf5054iMnpoXl
KaNj0hM1W/dQ58FmzJHyVpqlUDLr8zD8QkIA1whv0vP19Y5vZGlFsDLC7BMQry24I4aB7HAhU1uw
Iz6ihiFh+lopiR5axbRZGq+ToPsSZc3usuvNODhPKJBuKkQOqiwLUaJtcrVTjhWZUQOQOchcRy1c
I1I29RKN8FwSRvIFbm2a16QKPN0DJ17eRW0LxBRTeUh1tvek12YbrA8Tc/iN5Hbb4FFlIGdbeePR
1X4aMKNel0s+MtO2gxLs5EcI/kmqqkWGwY+oCjfb6+vjbQ3p2o/2Sv2uoVkRXvlucL8kjTVzmBil
Z0aBEYFE8U3T93WeRagKconScwa2dlC2arpE0zhTLWFtOtRZNtxbiAwJWXefjRlDg9zVndt6AeV1
dPEYetoou/o6/FR9Z3pgo2/sjfMxvzceLvvRTC0D4ya8zXQiEW+RhcsgUA9WWBYYhxQ+2048r5Jr
Iczk+siqQpt+uxSaZ15xWKRdgU4B5S9GrM/9SZeH0MoNdlX6oGxCSFeVjbxO7vXP9g/rJXrR7yO3
8ZR18JrdlrfWfqqnDFeG127su6UDfq9HyEz76W8RwsKQM/twlAgL8b696dzo6EbMUu6ctb5K6D14
yQqlC28S9VrahpnsaeqmUCDmwTUNmZ/vQltlTKQes9ZNBnULNjEHNlJHfx9aTfpTJn7FtDfbfW6k
aegnNiDx3NLZOWMGQ/1f91LYvxMDwusAYqODrmRI/ekH9FcLp/507NOf1bFe6pXPbteJIeEbGWNJ
tv2c7YoHZjUQoNq0IaQnCx/DlBYI6QrLgYlqqk5R2xNCHXoPyqENCz74G/tq0iBXttJ2vM3cJcb+
ecc7sSTEs2QsnGQMed5VoLxXgD6Dp6paFR9ij32smI70YHMIPgfu8T7yFq/c2cB2Yl1wPqnNmC1o
sW73a3O8MuJP+RJv3kzmx1aiRDmVn6fYdu56rRKXoGzy1i1kLsJOqTcHubl2umbHWX7Rg2aJ1XTu
xWyigUDKzjGBpxByvgjun7JjVNpNbmgMbJ171X6rW5CS3Y13ymO0p/YV7NVXlA1vbbd9/VFsw4Vn
1+zGnvwG4YMzGWTRh5q8024QprbVDbDol1hLFvpAc1+DgvIVWuhzre0WAh5fmriUxgywKUgsCBs+
LXwL06crfgunNoRPO2BwqbenL66Dng4Q4rbcjY/pflIKsfZLfEZz+3ZqTPi8dcDKDhBi0s9a2mjT
l3BI10bfuguLmrzu3aImxA1VexlSKuF8lB7an7HERwZGWJ6P6wYV3IZ6RnYtEfKNrTGsmD3zDp7k
2Qu2Z5dIn1SjvE6NXZ7+/UkaBRqbT37g1eWD7nMsCZTeg6MtAXGUuRAGERWbqeqKAfPnuRnGevMm
Tng+Mjuhu0fmKdZSXCXrsVXGazWsRg/8bOwyTpnu/ao+/iidZkkOYnapJ79BWCqDRUYXZ7yL8uwu
lsBvlo958A+FKWqvFIkMOoR0LIQYdjSKsWt9MsLytd2ov+q96Y6fyl3LzHzOISLUdr9Uj5xbF5ZQ
gDdBXBiWsK4hL6hNNWrjhgaiaXn1arb9lonKb5e9dM4MaaBO9KR8wymeH2En1U6vxCOI2eEhyD/o
3HOp/3jZxmxCzRw0KDi44tlIwcjBCA8FKqwNncGpg8UD71vupm7kjm55191MEsFLrdUpmRI/vlOT
wompFXO2XTApzoEXqNCdRjZql24WKe7mrp5TO8LbyAwzq7cMljbZqe8LGYXF+tpiZf3avj54CToN
cuFli4S+8wf3Z0+FOy/XzTBUO7kBwP9kmVsbAiyp3S0c3FxcPl2dkLKWdmUyosjqrA/jZnok6Ptg
D0eZl26Ws9TZ58Efazw0z30RLZxSKyqWlN3w8ls1P0Pve+9Gz0hVsoHW8+XFzZ2cqVvUOthEmvDC
2my9MTN5qscOce2V9KgY7l2NtcXgHwKg+tfL1mYfXifmRPKu+pBDAxFP5V/Em8Y7wiWaHs66+pJv
nXW9Th/0ZEN7Q/VKRhT/AabDPfRnsW/v7pMLATx/X7UDtWA1TDuGETqez3r+LYmZFVtY6HStiV/e
qSnhLpfBCDGMwJNLvkqfJjHLqfrmv04f+dLXN/cNnJoSbvJDA4lwUmHqEIzmZqjtR33I+m0BfcXC
oubucpPpHMvi78zTCF+bWakaTNMWJNNrZWN/5Z5hFow+Vbgp05X6gjoLPLoqJdTNstLe7CpPbAuO
qpmmM0Y2tpvIXAWms6qSFyd+uLzC2Yz2ZIWioHrddV0OSKXhkaBsTDda15v060TPi+L5fQ9P+bCB
EGcqQ1uuMdXnVss8wXOpJukS/PaU32XeROcBgB6U35qD1LhDULvWkK2YJVk4ydnNPDEhxGtA68Ex
0mkxxanMjLSyyg9QIfdLCcP0S999BCdmBH/RmFJivISV1K8oCI/r7MdEW2nuo712ZZde+0tzGXBd
L+V9szft6Q4KvuLAz5OUHXb1R94la6i9d+HG9DpqOuV2Ki5I3tLzcmFHRcdpEGIpDSDLbgCfUNxt
QoQ0i8P2sntOv/vCfopQm1qyw1pjvgAybWOj7eqdsVXW8dUSU/PsFXSyfyL0uqit0Iymc7OoFGle
vrXW45bBbXfqu1r7pSRvweFFcE/hOyFMDZjLqsC12sYtpYUrfN4R6eXzRiXJe6MePQn8WRiHCRMs
bBx8QNrIjMuvTrsxoh+Xz2f2MiUU/5eZaaEnZgoK3M6QYAY4vuJagQxaXmK+RcrgCGDcrL+u9bBc
+JZndw9AKG/TCYElimI05jAN4XOpycfvFdwxcbvA8Du7eaCTVKQMpqqW8DUZkib52UDpYlACLxpu
h4rS4PGXjhDX5e2baz5SF/1vS2LnP861msIoliZZTnPrrJLPtP2h21k1nrqxfpYvS64+u3knFoXX
6aEqGZdjRtMtuk8SHGiRoy4sajYwnFhQRZ8gB7dTbueu0HeqcVfV8FIlSxp9S+sQcoDcVo9mIxHQ
oXLzrOGb3xv/y3UIvh2klCaYP6X33N/ZxbWJqujgL7RyZhsfpw4wbebJBwQ7l18pDkbCPexutcd4
7rp60a80L7u398Vaf5W97r7+1a/VFYQ9wCr/oWRw+gOEu/cw1pLRKuwjk2FrOUsY2czXjAwtbObM
uAaZKDUJ5pAmuKYl7GYPGQnaPJNY2NZ67W79PUn3FTSnAG2z26W7afbaODEm7GqVwWtYKlP02/c3
0yuwv5K26s5eqEzPX7sndoTNM6M46/3JCafkqY7Wk7Cunm1KUsL4Oi1W6eZXcmvL64WoMR+f/uyl
kMxUZqEEkFk0rvbB+T6h05qflTsVkvXvTAqvjvvala+P3y5bfYt67+5iGLlkRu951Iv9bvhJeu54
wm61RqFn5Wyk+2gXmG9NJH3rbydcfn99uAo9ea+vEOiEaX6tvKQP4V3xVN13fy9JS2MFfOd//yAh
lMXwduaw3cD2PppPzCSvKyN+zYrBYw5hc3nxs7X0U1tCUIuT3IiljmcclJOrL7p7uFLXh7X92SH/
r/bGS3z1IfAMb8HqfJD7s0IhyDl9qbd1zJa3m9YbvsJJzruKt3G4M67622Axp5vPgxww45ARGgZx
4TwcGbWuwoxDjbRak8N6k1S0tJa1VbNxrlKESuR0IS7MXhYnBoV9teOgyxGsBYI2tQrkrFhB1NbD
EJUvJERT5v3Oe08MCVuZm0pUBwk2ku6D43/Oi+em3zvpXRc/wcSxEFTnoA48z/7soxDtEt1n2nu6
ZfVtepfLbkpxSBlc877zoHV+nHJKZS/tl1oDM2jgiUwetRXgt/ALvLnxyXUCz14xWsxHusMVBAaP
/Wu3VuDMz93D9u2fNuFG97Rt8BDd/Bbk5lbZTMjVpQg860m8+AmOk/wUskznnqQqpZFkKkWdeJ88
3D5nXrqV75OnyZ7vLslkz1akT60J7674YGXDYGBN3yYP1fSK3XWb/Dm+Wtrh2ZOlEmAxXGgj6qEL
X4ge+kMtSxq0H7f6laWu0t1x6+8dRClvra25qe6Tx+yluQ4XHkJziTZcYECBQakitiwssIZJd+hC
Qn506LahtA2P/cpPYu9YwuJQLLjv3Ed5akzIfzM5kTItnu7q0P58PGSf20Px0jnFQvIzd0ufmBGT
X6Zzgkg1cNbsBt4AdrHZUBTeLcFYZlOPqUnIGCP0gbZYxIEcqJJNlS5T7cmUoZFdvZ7gfcNGWyeP
S7Wp2ZR+KqrzPlGBE4qibyE0tNlYcFP4t8mzfTX8zF8OrnXbecON8hV2O++wcDG/VSzF0HZqUXBJ
f3S6Lpga5CAYYcJ2tU2xQSs99lJX9yal2eFDQe1vpW7yTbRZxM3MRdZT80II9/XYCIuEJollfYPS
HJqbwHWqfq0f6JFUFPwpb16+F+euxVOLYiz38wYCKyxmBfRu2pdSW7ju5+PoySEK8TtXq7BCypS6
6aPyOu0nBFJPQLI37XXx4fCifGqv4QnZHvfdHrbOeNfcQPWw8Z/iL9W/fCSmTr+ZCUhaP8JaQ5hy
MmbracMGCvd/aUIWnW+s6DiuQsncNVHmNpW1kZV0IeLMfzYnloU9qKE6i2uZBjDqYVt93e+Cm7fp
IzcCuPwvzxDrxJiQsceKMYShw5G2Vf0r7SGRbQ/WrpShSvgH3wGgBwZRYS73beLi5IYsjahyshY0
jnxooN+FuqWtF2qqs+55YkL4IHqjy1U5ZePs43dVghR8oco4l/6DMAQQDaRKYWD6/Go9wDU+FEeW
0DiZSbEvCuqPoV3Y31W7SIx9JzmoyV7etRmTk4wcagaGKuOM4vUDaW8ERg/6mDxAz87kP6oB81qV
vY4bBVIejjb8+1vozKZwC42Z3TWQhnSur8mu0d2pFizgY/T3aIoTK/A+nG+mYna+HI1YKZQSEqWX
fPgwHD5f3r2Z+xQmGDDsE1+uA6fmuY0BLqQhjPQONpj9obNXUno3WJH3vzMyHeGJY2dxAQNNhpHj
UfUSaApNf2si63DZykwecraU6d+fWImh04nkHCultS1N40pH+uZY7bR4C9ro6bKtWac72TbB6WJk
pZHe4GiMzmnvI1lJoEkp6UlA7E2nrqz2l+0tHZPgcCh69Ef42KA/60Bj5RZMQsV1CAnIZTOz4eHk
8xWua7h39RDtNdATx7vRgIq2W6rAzViw4HyhcMlkPj0VYSHmMKgw6Iedq9XSLsm7O0NXN5cXMTOZ
RvCcnt68EtFAe9NfOXGEg5n1bW9FOAJJVf6kXEe3U22+ul9uDy3aElzbqaxDD2VQR3bf3xTUWA43
x/3UR1mejHjDrgjJ1Nm6BAfXglpTGgVb7aZWKXK0PIHTbbFLt8Zt8sFZRz8n9TOFJ3jNNJrz7ORk
VagVL9y+s0d4sr2C71e6kjtKyvamo/1QNKPnHON/iEqgeGhfTjp9AJbOP2XZSCEpjMN0lQ0aveFG
uuolvVzl0L4vhKa5JiOb+seUsKkhbKO5pbOa+Ma8yjy4RCQ32zlwsgHDtWLX37VrxvtcuNt20cZ8
8hGbuJ7m7xecdnL894f753cIuwoZ10GihIUuoes/Bjte5d8SL3rqtpBEdiu+/HLtbNsn6Otgm47X
S/WcuUOFJRlRuUnXEZ6f8x3PbVjOI2MkoDXKSjIKhCkWVjhtpLjAUwvCTaPnQ32UUySN8rD5NMr9
l8o47DV7cGvI5TTUNC5v6FyEPjUnuJBV5CTJfQVYFu2jz0GcKDu/UA4Te2Dx2ZdhN7xsb24DLd7A
wKLYRmCJwgZCQxekOTdCbf8IW93t++AfvrtTC8IRofE0RFaNBct8kUMVhY+fl5cwd0I8eoH8G2RT
jiNEf//YW8dCmQxEsRsHznMQM/MACeVGQ+LEhS/w+bLB2VvtJHUTXCIx40Dr4GqhzwhTivzd6K1V
3i9dOXNf1mmCKHhCE6VBKGnGFKJ/465+t56XwuLSYoRAIjWKLSG5QnRWR0/RXzIF+BMExpe3TCwn
oRaGtjjvLURdp7/EykQbxGpUDTE6Rc6ofgxiJ9oVVhNdJ6gJeflgmBu/BqJgmIdgN47peFPLmvR3
ienv38DvADbnUM0zhEu8tsqQ9Bd2cs34foA6fuJH4r9eWKrwBb9ZoUQHOoeZfV4TghW9alEFahyZ
qe/UO+Qqsu3F1p7EIvWFpqoqnN1vU/ydz5e9pZZ1/vFmsJHTL5EgPDzEkAa2mhc7w5c4K+7VliMs
Ac6uAnX0XaWoCnD+zce4tb41qVas/LpTXbXrHpw6Ury2osJQVA6MnNVRWweVaa2aWtXdaFLvoYfV
rkuY+9d5Ddg2cBbOZXbHmFxHEnHShhen2PIuS5TjEMJly8PhmzoMkKVqObVdFVn6VOnM9WVnFGLe
720DDAqTFGX5dxRclJkgX5TwA2DFELA6areOnS7ZX7YydzjTlBeQZWA4FK7PDwf5iqq2QBQz6R2s
8uxTZj2H6dKo5txSYIaghAl83cERzo1oht8OEOmiu2RJG0W1UGFYou+bXQcyZZOaqgpdgXDDm2Gu
KBFyR6uiRKOtjRSQWllSfFBhDt79w5ZxkSM+yJ9343FZL8OtStHZRSbKTQxWUzyr9lKDREx+387f
Ui36XMjwGJQwzzct7tO6aoomgyW/pXxZZc2t5MvS06Aljlt2+hd78JttNiIfYBp1uvbRUttkaAZ+
vrxc4eKibgorBPLRMO3hIKYhRPgWhurAgBHbAzU/+taqy6lABS2Etk9Z/O2yLbGI+h9jzFJO8x10
MoRrGDJnP5ZHH+jU44QbtupVilq7tWVSmby7pPX1l5CcdxaFbaZtHfmN3abeUSpQkUC5ZuHlLHgm
BRv1jYAUNjPI9DjQ83PUTLvV5EyCsRtW7zAJEBB8VJSFauH0PznJ/3AWlRI3OwZloGqQZpwbKeEs
N1GoTFdh3LZfaiuSnpllkqMNEmLKni6mpbqoFvT3eqnLxcJdIqzwt3Hmp2QQ86YG7ujceC8jEJnm
fAFKaXnhONyVZndXZccfl53jfRRhjSdmhJOy1EA7tCZXFnIMH/0g/eY44frvTUyjIm9ERbAbCGc1
WrXJ9JAvu4pZ7mKqaX6x5G/TxSqeFLU74gYsFGjHC5lMxc2fFyNjS6qVWq6NHucGgESRbaMxykgG
jYTaZD9Imvmkoklt7HsAFAvLFJtZbyeGr2i84LnLYIg9P7EmSBWjCRIFLWXYA58dRJT7T8HL93Sf
P/Tr2j3c88Rd+A5mF35iU9hbhCz1rNGI0Me4S7/Zh0BeSaWEiAtg7Xvdb5lNs2vTXI3KRFA8bC+f
7Ew4pXM3OSjIMQfAqbDkMKlr7ZAmjIsNsuYe8tr/krVh+AQj9kqxfzKqaXmRE9qvNcqU/qqQC91T
EJq5/DPmfFhVIdaklAqQ1xaCaaaNuWRr3IRF29dkL7oPeeghLyXNu2xo7puE5Q4CQYRQNF1UUh/N
2kyZwuPKJfysokOLPhgKXSB8ogUwjLAkZuJ40siQzjF7pNDyFS73Ps0C00ZnZIVu0QOSjx9Kn4rq
5dUIudd/bDCRNnXzkKQWfGfQh6Rn9AJRYYT8aB66lXTfy9eBuZANLdh5a42cFLdyp1WK2szh+UVj
CTZ1yFUHe1tYNPEUND8uL+rdxiEASpsQvjILyAWIw/OPcBKwgYIf+pSq9d300K10dXfZguAE3G2T
BUA7pN185SJyxzccpWn8GhRwIO1hm8aKdB/nzcKuzS5kyuyobJjcPYJTa1kXIDbBpR1lx7Xe/5LV
v3z//14IiSMaZCpcTbaQpdJNVOO+SXipZNeBel+13YKDze0UdExcL5yFzLd5fhbVQQsks+oTTx+j
TZGgsYyOS7vwpcwZAUtEBwq6xGm48txI1uhqjdrLwdMoRaHpJX81Wjne2k3x+e/P/dSQ4Flaeuzb
6uAUns+YnoTIaaD1K6sMFjZt7tyn5wktL0cBhSGEVMVMOnQU1NIzeKkqH4Ml8NXcflE81NDxJryQ
15/vV3NsUHdBIQNcF4rFza9BSlZxvJA5iVi+N986tSKcil4fGHQ8Ii7Yb5zv1ibzonV7Xe6qTbqX
tuUqWRcvzo/L5yM+if9jEz+ekqYpaztfGRK9aYxUaOZV6+Cpv4GR+DHzYs/6lG6DLa3PzitX7Rr9
bUavjlSZpX1yWwLDWuJ+m07oJBl59zsER8nUcIS0zz54B6XVV35V3qkkP1nQ04aVlZcuVZdE4t9F
WEKSA3EnXOfwzUH6cb5y1Hv1oGOOH+m5TQTqVIo+RYeNPHy7vMMiDOltZRDW8THTLdUN0TeDo1Mp
aRcl7LDGeEu8QbP1buJ45Uy3iLabT5cNvv8WTl9JVAjO16UojG9SH0LQEqWgsfrUMhzxlxZ4R/AU
1BAdhNkffodzCw4qeAdEXlEf0hQUoxmAdTaXLbw7G8GCcMuWiIN2h6BU3bLe5t1TECKRGn2121+X
zUz/mzOnE8wIWyWPOZmxrpGa6PFrEMjJs1aHH499aG5znbWhhAlG2FSD18t23/vEueG36t/J7a4P
qtoes0SjdeXf+o/RTtnZHkxww0r21NXypIw4A/j29IPYhquRc1Pst9BzYlCN67IphhTGBchXpg5W
eaO6xabfFevjDVpCW8WNd7Bafl5C4b3zxmmlJ4ankz4xnAZV5GsOhilZuX3+MdAWoA6zZ3hiQHDG
g9+ip9YW+UovuhCR0t4uHnQ7sVD4MizrU1QbVbOCfu/4jLxOat9fPsl3F4OwPMFRQ5TQaaZOy6te
Ff+5SvNVdli4rMUHA4fHZ6YhaaHr3D60Hs73MMjrphzguoPywd9OhxbdONt4xez3IhHk+w/v3JSw
HgNl0yIywpwi7IG53rGyJWQoGtlvNm0U9q9hiISu+7d7OOl2UNbh7mONYq84SDo08eAVWzWx8qWc
1In7Xr4pK3shbImTDm/7qNnUy6gjqdDGC3edkRwNZsZo2rSbDnBxs7av4s9EZA/lcTdaPUvrcl2s
+jUqUNnVsFsCGL3/FFjniXnhilNqOx8zKpzQ1ABNrwg5ZrY0MSJCpn6vEXeGeQHgImxH575SBybS
1yj0rLow7ixXtys7eej9umhX8EzW32ukfW6DPs1VGPdasEE68uDNKkPKnIp3fIQPSM9MeeESnHEr
8LfTHDBUjTKCHue/qgz6AokobgxfHigIFQHCWB+sgLrD9uA7pf9i5KoWLUGG3n+cGqRh1Ap5FIK6
FJud3E5+B7cVzpyaKH2CWN7nBMJXar71QmthxtSUHSosEUjXu2dBYAZJbxwU3U3tu747rlr1RYVU
8fKHMudAEEROuQSsNqoo6uP7lOgrCXnA0laHvZVlXxDIbbd/bYTalq6C3bYpkovpSlcGmXSksubm
5cfa/iyrh4XPcGYVZwaEEKMoBlq/1sgAg/Tgm4wGLqFtlwwIt3qFSjWtBAeGE+b+2uyh1Ba2SBzF
mD6y0yWINU4riSh2Q7xIq9FqthNlLSBTVHh30ov0tWBWGUoxpMnqn3rsLnXw577wM+NC3tr7iJGm
NcYnGamJo1d6qlc1qIF6G2yW0vKZDxdj9HxMa2LAEpNkOcwt/4Akl6sevzl9dl0D+g6O6rrUqwXn
FhEab5uKXBVfIW8sCHGFdUGOY8LpwrEhAH7Ves2ucemvDR/7/XHrBCvjS+M5V/HXgWcIw00Tin+3
hM6Y+YqpWP/5Cep5mDpUgXxAwlp3Nb9dZ/mVlKDPdlxgNZrZUqrvEMI5MCMRFIXbvAutI3KVreEG
+ccQVQLUlhTrGjzl339nVFfp8nNylPbFowvCcTzqiCyujn7+orXMzwTd3zUipyMD5QVrNUnDVM8U
lpIUVmWkSkuADdXV2KhryZA3h/FTggD25ag0kzFjarpA6K2rXG+Cqbrty9IPe8M1b637xvL8bbNt
SYRkfV3dyN5fcx/8XtuJQSFMoVbvB30F23Ylp/dB/zQ69ZPpPF5e1ozDna1KCFUGI0fM3k6rOrRf
o7a8aY/VvtOXhlNmIiJmSCB58FJpE8tidWprPty3hpsE+qq2LcakP11eyPRDz19S0/H8sSAcj+pX
g2n6nUFErPfTuKO2DXfldmm0YS5IAONihJNgpECUKZxKJYfmKCeVgd7QxKqofAf8ObXnmp9+sZq4
b6RtsQ6/HmGJgN5K+Zhuul2x2EAQBxF/O8fJzxDOjTKjaTQJy40+xlt1G9K7aG+kHcrRG2cT3Tmv
maftpLUPKN6rV/q9D418dVPfAQtYTYTbfymS9fZ7YO+k1kANHMIvIb+SrEMe1QcYoYwUsdMyi5Hn
NPV1redLVZPpIMWDPrUkRGnb96WisxzDDW3GDgftgxWH95DtukGFqrh11H9edqz3fVhizKlBISbn
/iTwXPkGMjnVlXMfP6SQK/sMz6D3LG05gUVW5Vkn0yfGLR4kUwIp7KYOPi60pzWaj8ev4fOw7rbV
S3CdrvNb6OCp4Eju9+41ucsfuvsQJc3/AR3EXGCgNIV9HqnvWxlmlyAI3Gn5yhz3x/x4M0bdbTV8
vLy3b2XLd4d5YkXY20YnSyp69rbeDG6LEvuaQb2t/+A/xwmVP6p+H2r3k/qQrBR3mr6UPutPl3/C
9L2Kv2C6QGDAV2EcExE5Y90lWm45vDTlPtTcpmgHbdX2Q5CuiPbpD7MKu19Dq6CyYSFMvXCrzMVF
aGFVKu32TFWkOvhDoRmB6TbGKwT5KNMuPN1nDaAA4zCwTKNVEza4UopRzS0rXyFtDmLYrkE1NWq7
UDiecxZTQ4eQPzwwxZbBoQKmFSYH0z3aCWwXwU1BiKdvtBDjl8xMiz0p5ehKWx/CI2bS5qtWlquo
+9RoS1P6cw4xgRMdHh8kgiJrSBm1tE4n3Fs05upNmR8eAl/1H2grdqu0qPWvvXmQ7qKBvPuyJ86k
ZWBi/xgWVldJCCh3BXhLKYzGnVomjJEFmrNy1CZx5Sq0F+pWc7tJD5qeG2g0hRr0+W5GXVvbfdTR
+K6inW8Obpc2Xpx/u7yqudcCAeSPGeHCVLUxG2EoVVyNF/94+JbnynpQgT1b2p1j+55Tjrd9oW2k
CgLW4SXIlnif59ZJzYrjRJQHoUyh6JIpR7NuW4saY/062o8pGn1dvlpY5XTriGEEsKSFoAu056iO
nW9mcOz1wNGBMiAYjYQw3VlTXYWVfKUcilcTgpYcUXQ5RNnDqOS7pl+i1J1LfyaKY0af6XHD2XJu
3xjqJOqakSIqJCq/05+J9ugfXrbWqRnhMI3jYHXaqOIzY7zlzt+lrblZ2Mppq4SthB6bMAJlIsUM
cf6+avMUWIjJeME+urMg3gu2/ge0Z6CadBZn7ubcE/lz2ZoIOSDgEwtDXZ3EqhL22cpuEE4I/c3h
YPbXslVdW331RVIUr+qNcFVV6rZ34gEMQU8HqreWwMPTAYmrnjInekLwSONB5wdYlLWO6DzQqHzY
ZWPuBXEJH8CHrI7cPlUXnrpzOc309CNUOxNf9dvs50kkzTNkr2OpUMmWmZN3+xuNVl/wMmmrGVfa
WnqQni+f6kxwo2lJQsFbHqiNKXwfUqbXZuQfVbc9wg7Mw/QWIpRhpfhGswdmtLtsbfZUYRCdlK4d
JnQcIZYeiUcUxYml5m3vgZJeJZ519310izt1t4THnivGgGH5Y2wKQCebeYzgqh81X3lrbUz8qFDi
oaUYetJ6ovn0V819dJ/cLqGnpjWIHoM4M4IYDiUrphLPzUpdZOWAGFTXUvuVdPiQL+3ivIHptYso
HprWQqYdxxHJvjzVTIthpQ8PartQiJh7U5Pkous7YSW4JYQ89xDmeRRUSkbCNdZb5tq6xyiNeLoE
0a4apV1gSK6TgdfThkzeRMdYgqvJjtx6zJhK6q3D62W/mfsIT3+PuGKzDiXdwUttdOoqH6K6NFnp
2i9bz9ZFvdC5mTUGfodSJq0H3PT8/JKjr411gI86ZbcvnKvsKK9sOdt38bD20/3llc2dJagXkOdA
X6bqz7mxOo+D0e4zENt2kHh2YLYPhlEUz5etzDWKeC+8gWzeINSCGTNLqRC3XEP61nnttv2OCVkv
+jERYC6xUMyu6I8p0XeiThqcrprAg0VuXysGQLWhi5dmPUV44PSwZUXM9gEtn/DawikxKH2wqcIo
sInUm+xG/eUnq8OVszY/wHW+Hd1DAdvQYVEvYiZpOTMrbGTC01A61qzOGGPjphws1IVrmXa9Eh+f
Fg5tzhGBAlJvB//IDSTEZlmqUC6VApXcAXyMH9yOHqLN9spZDxt1Uz5NdO4Q37gTccNSEJtbJ7gP
yq0OrUVaw+d+WYaKE5Q5tqmXP47yuG1U66seHv/+GWSD2kbpllDDS0g0kxQdpJTc8o0a/4Dy54YX
/8IbaM4fp4F3FkJEQ8XlfCWD75haJfUgBpT83k4O11WRe5dPanazTkwIThHkMu0WwPjMWXTlxh9D
66oMJIoRkKEvZAhzpkj04FFX4PinhXW+GvnAQOQRlRq3PmZbpWOeadQ3YKn3l1c053qnZgTXQ/4L
DLbN1amqqWuaG0mCL9rw3aNB4Oi+/++MCU4wEhzzTMfXuizy+KQ83fjUmPa6SA/e2D1eNjaXFeDS
TE5x7tAsiCTmySBXfXcAYVF7LYzO1Sq6ar8Vm3ijf1af6zU80gApqSmshiUs2kyuRYPZxgenYtw7
RJV+jCLaazZvDi1Tr0atf1XL/Mm06ZogQuNs/2WhUGxCy+OArhXbCWGZjQyHgECA67/w6huix1bx
4ntmFW6HTXOjXMmevgs8c+GbnrxdyH8AcsqI6RCjNTDk5y5qp0cAOo7FQ73TUHRRATTfxXXRV55e
Wk3sNv+PtOtatttWll/EKubwyrDizknhhSXJEkEw5/D1t7F17M2FxUNc+ZQfbHlVaQhgAAxmerqT
Oe7dChjjKahTFCtdJYlKAZJ7ZZ/g8FJMJvuCvAd/iZNKHwd7DHO3kh+z2dwrETQNaPvHuxFFa6bT
bQFVjF4bznNpOWapBeCDq6ix2yvo3I0f7JkIXl7shLqcUFiB46DXhJXv+S6bzgljaja0cEsEa7/0
EXhZGESFyFba6vPURvQmqpOWgDakkkXUDSsXLdLHKBeh5QB6gAiILpcT6Tc1GsYcpa97sm9/MPEp
6qPs1p4G6oYKRCO0oNxrX7SXbf+9XkHYRfgOVSYTVAF87qof7Lh1EtTonX4sf85yWD/kcVM9IF5C
2mzb1rXLwhZiXbSoIOMIfMTlGHNJq9q0tzXPHKR9aqY/0LsXQ3RA8yJ73jnK8Gy0EmQ4a1UQaYsM
syNj8UQBKlDP0xqlzToOT21rPpaEHpRBu8u7+rkm7X4gSeVCDUHguNeXIhswwMpgCnOQhOf2aOxM
6tRoqGcOZHQN9TCP37ZndHX10DzAdMPwiuc7RJUo7BplAnRnUitpFzcgocSLskxqUZ/ImiGWQoLE
p4U8AR8H5uE4plEHOqc2Jd25i7visbHj0E9quxd4JA/DZVq4C4IRwDYvVyseAYdVBxCMRFmQ3Kle
fMZrctceVMU1O6TFZWimTodKEMBwd/G7VdxV6IBBSRWHGecjaZVGxCFQNBnz+3w23Lb/ay4L8L3G
vhmLbkduOq+MsY9ZOCSasYtimkAAQo4FtO7k28oDjTwYf83PtVd6Yo3jVYPoMACoHD2eOK4vDUq6
3I9yJoHJKQSWwHHcATRBRaYIHP7KDOjpULUBkwSo8RAMst8X48rMoYHuzQCOfN2sXchUuJXZf2nH
YNvt2dcujmrWyIIKJHvJsecJMKKXZuRUL4wiBFlDr2jRk+xUMYqPVaEdqwxNy4lj/CnA/d0iBoRM
LlwDwl3c/AFVFaMbqM3coqiHA36ffWkoxrftcfEw0SsznF+gd0KmeERCJ/i2vtE95WiCo8I4h8fY
03/MAfQU7h3U3P4fvBhrK4c6CY5llHVR3uciXimr8P96WCZHEBB/S4CIdbzGr88A4HqGp72CsNL/
V6P9sMmFv8bYVcU0wuZwghKhGjDJawOs9ZannWrI4oF5/S5C3nMQQgFFo+Uiiq5I2h4kHSCzGiZj
VxTQJjJCqXGRvKuftkfJhRXvS4rCBjRPdaB/wfN96atq1IxJRrTMdSpLnz3A7PM7UqQgcGyrTJc+
TbX0o2lB/hBGLdgrt41zF9Bv4zbiFQgoo1GdzxKUc54nhYl+Op2Mvatq4WkwI1FLFp/2eLeCDBm6
6hC7sOzt5RDzkm0aKUN2RZv6H6qJNL8kp2B4SSvlJpMshKHNSHwndUAfpmnt7ILJqXY7bRYpu6yM
F5pUeH0i0QPUDR8Uo8FJmtE1CUJ4p/7e9/apJJIgllg5e3BBYKDgY0DPFl8xjQz0t5IqGoHl6KGb
lLlGSm+kgbhmIXrwrpoC/bxlIS2Ozm/OdZD6VGTwzyO6JsUXiTpfWyWPTn2TgqzVcCrBdlzZE4z2
CORkGrrFHJvN7eLsLjKJ5XjT0cvrwa21mxQyC/IocMg1Iyp4gBCw4CYCBvjSSBJTTa8rPEamifV6
6J8bPFtqInqXrPnB0gx3XMeVU5lKj5nTSit/M3s8z0pQrhy3dxefwGWOj566j9Fwx7VWy3k4y9no
zZl8Rvrjk9XGZ6kMH0rdDLRc/4GofjfP6i5y5l2pWSejqg52Nwfb3yEaLZd7QZekqXdKMnoGSGiH
MvKmSrTHRSa454k85F2itXAOokdukz9R82V7DDzhyu+5REMsfBpxylW6vdQzg+ZJNXqTVWeAZ+PV
56ntWN90ClXvx6p8yap0PkpNZp9iGkpuH0IiffsjVr1TUyFVBlYesF9z3jlXUdOCYAjr2Tt+i/QS
Cu2RqCC7OpULI5xvhkDzpxY6DL0cudS2OyegMvnfhsG5ZZJIYEUNW3CU2feK9STRZxoJsveimeJc
LnbyjGQhBqEmuDZ1OT1OCZDKZSsqE/BgoN9+sZguzvMKOk2Qputw3t5oruEqO8XvoB0AbWZPilzT
Zw/j9C58RhLNBR3cPmpdseQa/zz/z1cgbsdrDvlwh/uKQa0jpxrGESpQ1r29Nz3lEN/Gp3hPvqHo
jFaQ7gy0neBJwtcpOasO/xJKMihQyOaAPXGafk2BBh5vvFOhIPkoPVYvTC9YE6FWeUzSlU0uELSa
wqgsCTbzm6pxa8g+HZIg26f3kK68L14a6iZ7VDWqY+FDGvuJVi5eSaLQcN29/p5ugGi5awKkpnoU
Y7rnOjZuIC087qXScZ4UXar325tlfTt+mNIuTamxPevOBP/SU1AnJy+5JsLOrg8GaBpAZx3Ws3dp
ocBrbxrbGoNJ5cDKHk2pB4OKIBO3PowPI+z3xe1dOnnlWHQaPbmHHMT0WS1E2RvRMNjvCwtZmQ5x
YcCCVNBAHuTnHjJdRZN9316PVTPIMjjImiLKuhIwTcIozgBz98D9yeIQ3XP6pHFJNwkCOZEh7hxO
1NFoVROnpKn1h1x30KGSd5+Sbvg3RyWr8CJTiwwf3+sN+JEzS+w0hijlY9kA7DaGX+JG+jeH/sIM
5wCZRAc5TuBlcXvT2ng6ATrBkM3bq8Pn9X8fDyylxeQ8lSvuq1kv2rKYsTM7pEh8pcaTjR0PPzLd
nx5Gr/813Az3gKp86UR5/dX1Ag2aDMoMPKVk7ggep9GxUh3zCKiPb8y4O/HKz/SjYIAr7zWE2v+Y
4RExttZDjG7A+ZdCihKCJnvlu11446f0zBo108N4O52thzTyxMyj6yNE3QLgajAD8CmoWm2oI6lF
7ka90rlILd5BrkL2+jT6uj1IkSEuQEhZVWEuEbeO4Vcl6txObnySiQT31p4vSNbroAMAqQXGc3lg
0DCOpJoNJyyjXUb0Y2WhJyjEDdIru+0B8YgX5paM7QitX4xTBXACzpbdm12nwi2bYAqic3WKA+sp
POCa3KmfHNEluTJ/4G4AWR6YL020XnAnemXHqZQOZe4S8Hx2ruqgNOhXNOuflFGRbV8wuDVzOvrO
QOMLnITCe35d5DWpZQRb7ecpdfuXBr1OjvcusBMfZZSmM9Cxh8G21ZXVsxdG+X1gUKeo+wjHvTk1
kWvR7E6n8clWYs9KiaCWtRb8wxiLqxBeIR3PZmBxt5DQsNNRsnCqTA4dFF+NoulrHY6O4mMJRtTl
u0oZh2NndGrhl8rc6zu1nOm0I5FERBH62nzDYRUFBEEq+OE5Z7Ka3umojAqipN8oDZ5UUG/sRbtj
7SQFrgIIP1YMwZOb24R11+htbVMAv9ENq+3yHd40DLwYvY7nMpg92QfnEOoGzpc/5BN83yzIkejw
JcYH9N6nu5htSYdyagvwkQsIiXamSWl7pMu1L9sOtBKRYHwfVrgYzgkjcCOoUNStuzQgFIwLvWBj
rFrAAxzIbqSawel76TWgCJhru0XL9xwiFJHy4qULjVFgZC30Rz0O7Em2DI4smffNCGznTWw2E46W
/Jg9qd8qVCN+EJYXHW4KdLmEd9CqF1i9lp/AgQaxNNYvhDfHFfenrUxj0ZQlYMle6av7/Gg91zc2
eqZHn3jamTXlJfvkJjtmIMKWvs5B5vcBJIT3tuAcWJ1kR8VBhujlmnww640a/SYVlnFOvEn+2VWH
P/cT5NFYpwUgqMCOXK6ibRR57qAc4nV4zxsMeSa72xbW9vPSArfTSJnFYZFgp+Wt47aSdWgk9SHX
C9ElxI59riyBjpWPkXAXnpQPIegPCKiWd8XkmqduX3jm0bhFM4ezL3bRTpSA0laCFVgEbgkpQsWy
+AxhOGP/kXKekPlJ3cl4KaYsiJs70G96FHe6DLqqOkWKsm+PWhzURbqjLc7PMj4Z7VlVykNN86Dp
u7uGaL7do1zTogs9/Gnnjdcob6UxnSGb5WbdSyG9oUHkxex/Qd/WJ/qDUsXulD/Q9mkmIHMN3+b2
x/ayXavaYA9owF/KAFegE9rk9ncYqVbozPAM50CPWbOLDto5AQm7/oLu0CfbbWXXAXs4OZSPXesa
f22bZ/Ekv5pL69z5ZVm5XJc6duDffMbanmHKRS11a/cs4llkXlnaCdHBpfsrmjToUivhveM8J7je
lfRW6yy3F8plru2CpSEufk5NModZkUHh3LKCpEc9Zw9K0e05WzssFjb4oAEwc4tUClZsUGjpaUrx
5gi1VXgaiffrS2OgLIB7oKTxfrEurq9pUFt5AigXFyd9aD5px99U7o2XPMao4keuhEJZcaQHVAXl
wy9xMXV1yRYfwC2ZXWiVA5gRug3j9pdBtZPVda95Gd7mkSgyWtvgOgtE0G4J9hgeOO40QwQyd8S1
EbZaqLkaqmVmFHtpHbOKp6clopKRyCIX22bmNNS1wZ7Fcuea5KekJwdjmF07rcCF/Y2a42HbZ9jp
y++z5RCZTy2Ws2yiTiYUCZhktH0ZOTUVCcWJuih2uIb952kSRCQf88k2ycJYk+i91FXzCNQxDao6
e85CUX/5NX4Bx9YicuZ3tD42TuGkWLMkdYtv9cN0C0R8A8mI9K486272kgfgcu5FSsJr+xu4NjRn
I8+AgIGbRzDvjaSC3rJXYLWk6A6db24hP28v1toGXxrh5o9EmVOEeP97BqB71L4zRNygazlPBs/7
ZxhcOAAyoSHJ4PJe9CbdG7vptnhtz+l5PDl77a32pC/Jp+0hrc6bARo+5BR0qJlwYAIoawALNmHe
SAbcb/ez7r7LtcDG6rSB2tExIAEEYkzuJmumrovqFI+potN2BnnpZ8vbHoXIAndbFSUOj1G2kaAG
R2xH952u+NsW1k49lHcRBEOzAK2B3BgyU7JnqAKPXgbZikRGh3P/0tqDbwsZStZWBH0IDusKAKiJ
z/5a00hVEMQiJTvFBylxTlGVnM2wetke0FrdGlAYkFkbCjgnEEhdHgY0MRInSSrUV7sG4AqzwZO6
kOgZBQeIY2eF7uVq8aZLPZqxmoY+5u34y5laEfZvbelQawIHL4pOCs6Oy89QUeLoK/CIe6W9r1sV
5Ph/SPnyfmMuw0TuTHegFCxLcoJQZkCoZNCvZTcJqCjWBgF4JpCE74wUfErELqRIpipeSQmRvHL8
ipK1ILZYu5iAkwdZJsJBJOi4owefDkEBu4UFKPSA6BzqPEn1S6rLczhp96WmQgn+j4Wa8DcubXKH
kTU1zlTENfqHnbxxI+jwubRDH8K2I67O3WJk7IZcXEoltVNIOWNkc2/4UQP0RPNj28LajgKcnaGm
oByKAO/SQgo5BTOau8mLxw66Ct8L/RMOQ3/byNowlkbYAi6GkUGTwY7YAqU9tG066pJRkFJYc4Gl
BS6EddJh7K2WDUPX3bgvPXBquA0BLGp6Hm1np5kP/9OQroFmSle1BQy2oR0Ms/owOMIiH9t8fPyz
GBTf8GlVqtMpE1a90WuHBiYa6h6dsYn3Oko6pxJl8W9N0TpnR6tR57RSGrrIhiKniZRS+m1OC/LS
pI0pAl2vriYALggmAAeDZMPlag6JgiRchA1tacSN7AdDEqFj1y4UfCNqYrgXUXTnNnStNV2Yqpjc
HhZy+acyQts23IvEUVcHsjDD7eEmKq1qluGW5eDgWfU5BPP3tpes4UAYyeI/I+G2V1wpQ5xUPUsR
hXu7crPEJeAdMV0mvAoRCnDZBdsmVzf0wiK31/p8nOZixKAqelTmG11na7TbtrGa+VoOi9tus1Rm
8xDBCBB6EJGuQzffzZ9sP3Wzo/I4+fQw35JAFvnF6i7/GJvDXctWh/oInWB2hJrsLKF88M2YwO9l
m65Cz5aoVWVtKgHORqIXyHQDCdlLR+8LICJztseV4pbq323zMNSCc2vNBRcmDG5EkhU35vteapNX
XUKtTMSKvfrmQBoIPAbIg4JFgbPgACnQGzp2a412G1reM0bTxPtRvtV5oDFWU0TOQoXv1ZlbGOWO
CL2sZyUysVCt/doNvauMry0VnMBrh8RyYFxci6bNWkrBbuSBkMQpvdoG0te5edz29OuBqApgg+g8
Bz4ToDS2foubC/V/KbTZEaENTuuGuelrGmjyLaUVbanrw55ZAsbOwV18TQ8JVcExmcEe6I2zYu9J
jDd2VEwob89h4hlVVB1pPIW7uumbwzhYsjd2av5sJDGEEQAGvEd1KBVEH9d6h5qK5yIaeAzARJFz
ZrOzGH2sZI2iQcLKIzddAPZ+jQT9Q+oTHxU7tHHHHn2bEJNgg4BqB3euTyB7OP/sDiKu2uu1fi+F
gBMaFOKsdf3yQ1qbOBGQH+gqbVK3nKX7LqtPspJ7k/L05wsO0rR3GYH3f11aMstwNnuqzexel/ZV
VMZfgLOZPeyv9M+LhRiVAaJ3DaErMmDc+QLd3CaDkPLsFSV4ArHWqgaNtFlEtrnymoEd9C0w7QWw
BfJyItGstb1h5aWLQoaj+Xov69l+cpypP5mxnBjQQ4qs73XGuGSracizvQ5pi/bRsKoJjUZaGBki
NtS1fQWgAPg4ZDTkIX91Oc15niZNSxsUSki2t5PpjB66YxOJWjdEZrjL0AHRqNOn8BtqTa422tC3
KY9m9nnbZ64PccwvonTcEBiJw79wNElWCBmrGXgU+hUKuC85FYIP2Gl2GQtCqQMAfLD5oaQFJpPL
CZOlPNcgKSejFzmrPGPX7G1/3qs/8jsG+heVeFfmbWmNz3zUzWChpjvPnip1x3r4nCT9ztBFeamV
jM7FoHRuW5t1DLrylIDluwCRlN9bKs38DKCewu/jsb5tk7qC9EFvjK6d9/pTqOsSQAOjoRQAmETj
czjN4AiHuEiVQnINutfe9sryJPx4H7MvBO6ZiZ9BX4D7QrWypzQHbt0rfrU36XEEvNoNb82gC7I7
VNtQm7WP5Je8I4eiPtao/AXFjpGxxDtR7LO+JB9fwl13TUT7JpoMUHUU1HPUYz2j5aT8Y+TT5XDZ
JbU48JsaPZB9B626FCSpE70d286ragHsaSVNf2mFu1SpPSuWVKUyQhJAMr4lSFp/sc7Q86LQfK1q
eIA7vhU7JuGbuOpp/CkG1KxsWegMavgHfbkgsWOzvRionFvSlNSI9wF8L4JqqqOjXmUi5JXICrvW
FlYSzSBmb8eQ55vjyNhJoO9IdqFN2tdtN+V8AwQyyB6a6GxACo7xD3Mx3mAq6NTUlciXjfmm6rNd
MlaeDj/ZNsMN58oMtxkiELorJRjgfNt+Bv4UEARRVoWPVn+bQI8tmFHRRH/VMEIbKVYHkPD49Y8E
Cjsv1hnkb9aTeWPej6mrfZPd7FkM4l0dGLCkIJuzwQfHJ5BINVeZM9Pa1fuw9btK9tJMmYLt2eNi
mN9DQ3oUqUuQnIPW7tIZYk3uNMeKiJ/205weqzi1xs9Fr81R5EakHPRdPNmpCAnB45+YWcaVCNYR
wJNxQ3GeHkUF4ARDgZ47qdGPxFToLpOn9B79K9RXmy66QfwXBvJkV549UZ/2coRkUJGfLKJnz9tz
sOKo+Bg2A6zLFyI9l3NAUy3Us6Yj/piru4YkXuckXkmV47aZlfW8MMNdlhS8hdj8GYiGUD0tx6MN
TOC2hZXFZKQnyA+DkRvct9xWKNUqMqdSpn7UJ6k39Kruzpr8MIMYYpSGPx8Owz+xPDSq9qBUupy1
NEfsqFUwRkYaYPpcahSCUJ97WTMvAYgcysNgekQ4yvMFA0YwIiIbQVOAEpjb1KOCYBFy1z25s83w
SELlXh6zb9uTeO0NoNgCJxtLtQNvxOOcQg2v305RqV9mXyZqgRbuRz4KbrTrhUKLNQoTyAwALoPU
5eXcNZ1lQugIulNJdTNKZyf3dWdXyH+YR8f8MTPIPeMkhjvwmQkF7V6q3VAIhk+x45IKjdcdit3b
83Xt1uihQ40I7x/Aa5EZuxxL0oRTFlKMxelPBNQKdJL/lQXwOzJGcfAvcWF5oc2J1LYdTl41+jIU
BnWxdn++Iug5ZKLTrGccxfLLUYy1agKvK1G/lxQn0MZk32roQyzxSW4qFaIgc8XJYA6lHECmGAkN
t3nGNLUK9A2BeFADGfH4og/PcvfpzxcGcDmwbqDfHvV47v7VlKoYaydNfDJUXlsUBwUZ6H9jAkQQ
8DNQ//GVr6FEGDNUSeLnhDzXtP/eV9O/cGJwAH3Y0C5XhnQt/MJO0EoyyUe5MEu3ptHT9jhWl8NB
aza4tgCi5N9KYVPmHe3gYcDyy2BoK4rXzlbnY9yG81/bplauPvAr4FQDPgIMX5i2y/FU6EqdZBP7
xXB7Pz60yIQG0LeDfiWFiIiQ7m5taEtznKcNoaNUFl7PfnrTndLend9B4s2t+dCyHEnyMB3JyRYA
ZNfOBGwlJBAUHZ6hcjtWlQY0S9cYo5za1LOb4SWXkhfBRK4cojjVUIoA9BVpsPfOoEUca6p1Es0G
jIAIy9cDfQ95g2BEGrFJweNnu+BZ/tqdi4PALLtEF29edqhemOX80SQg8iNSmvrpMTrU98RPAG3G
u+RIT8LFu74AUWuA1hqOCcB7r3pcbTubwzgrM5+xEgHZi8IDwBI4pBpv+svaA92f+JXP2DZVF5LO
sijDteY8S/tsCRZTXPZl2cUWbdy8oncG0sCENGdwmgriFh459z6nGB1uKES7uOc5J7XHUbEStpS1
AxxiFmTo0ir96CuaGY1A3rFkQnP41TyYBzkEdlz0hFjzpIV5vmymj5FmJgpOY6Zv2o+jn1WVP4LS
My1yf9t9VmYUQSDTzkPHECIbfvcPqIc5kYqGtCrxo+KmDEEIBhqtbSsrA1paueqjV+mAV1HWuE2l
p4ESjskhbhBrAL/YeiDVoc/b9vjSC1tAGGQKMIhmEG9wdw2doCLf6U3m559z7EbIAv7Usydki2dv
DvIge452M4VItYd2x23TK0fNhWUu5h1IGSp6XoK3sFRPkl3cNWkdbJtYXTP2jn3nSrzKck0zJQbR
wJdlMhbkTpJ038xncqs5pYjIbXU0H6b43BNgJI1U16jdo1/D8WwNksLoIxHSS7IzijvDgK9A2gQ1
QDSi8DzjWoGfQg37DVJOrT+jRzUJ2C1Uo2yWQusNBGigrbeemtspyP3qmx7EIEk1vTggvuk3fnpn
79KgOdqH7F71ddud3HTPBOHqW/E7mM8U/3auxddyJ+5kKfnUZjhxkzcZH0H9ECmZvXbKvuR7URfA
5YmLdzbj7AI9KyIOdMyADu7yxEslmhRdY37Vw8Yzu/Qpz5JjoagueNvcKELZsrd/bXsXuws/1uLK
Il9sy4kR2/lofiXR2eznmxJ6FInkhU7sK87btqlLR4akMgQ3ED4jJNRAi6TZ3OGTmWrbGhJpfVt7
JO05VG/C8a9tE9xiXdng3xyDKuctTWPcVbJ5ai1QZ5PSducie3R6y6XQwBiV9CWe5mMtybs6F5xE
6uXR97d9SJeAFg0BNp/QaO2E6K0M1+539dE6GDvre/iQnGwwJjMfV4/oTsaV/S6n+QhcI+uIyHWX
AgSvCWqB3Mr+Z7o/PoVt9sXt6fS6rM8R/DbTk90k0V1DdTeZb6l14+gCW/yw0ZKDYg/UNRFSArHH
g7I6OW7k1nIgG1Jrs+0hH+cULgFJmuz2uIYyFPCICOx7eVhhd3A22Tctx2eS2gB+enQLNYS2RVGb
L45T9odtj1q3gmw3mjmQFLI4p+07qcuSFAua2hA3D+POHRGBCW4Rrqj491g+rHD7XssiqesKrBWa
RHdV5Hav83ftU/lAcA6a/njQDgUoryAui6aV/lYFfB//Xe6ko6iTZmUh0bwCrVTw3zOMPec0Ukbn
orRtZMYaHHOzafe7uBtTD9Fu7oGI/Mf27PJHAtbwwhy3hhYx5LDQmMiybdP4u56PVf5cVKoh/6WS
bDJ/bpvjsuzv8wx7SHxAnEnFhcrNs5JYUmTkWM3wK+ql38odQllqu/05ld15j0ZZr0zc8DtEpoHH
cqcbRBR7UT/Z+8t3ceQyx11+BB/voR0Y4FOQ+/j63jwZhx68x7PXHdu9KIBf8V2wGKE6jM5L9Kjy
uRFrMpQy0lGj7vqUfk7JLO/yjojUb7nw+X1SYcZGff7dFt+x39EWgLkGz3CceTe0dDtg/wzX+V59
JX7vIgnotabbNq7zhr6z8Wf8LHLa9XF+fADntGbZdrU+4QOsoT2jMdJxtTgWGWGuwa3axSiZKy+O
G7UzUxWFudSnZr2f51vLep2Gn20RgQFodIk5nRK7fNz21/ViIJrJQEqDNCdig0ujoKELLQVHqpdS
0EdM3yiqeTF4WktK/IEWXkrqfSvRYFaKvVb/kiTisiPKiL8LPuTyXAD4gtX8Fh/CbZxJNYuGUtT8
GLiJxWeMtt6WXGnGAiugym/3sd/TwHjZNnx5QFzZ5YuuSlWNSGShLKY7XSC3vdvGtRtSUeldNNF8
5NsQopM5ex9fPEPGDy4cRLcgUR2gX+naOxrQ20xAWLJC1oJJRXVFZjkKkLaol6tblEoDqkgLNfJn
e0+PaCgr/1JcRAqv8nMcu+PBCpiwUR70FUQa0yD2m0P5KnLs1aVdfAUX32ZdxGQmQLaWKSDTb/HO
sHJPt5AYFAlYX+7T/yzmwhK3TzWTRMk4MUuSPN0BXDMFtIzy3bbLiKxwGzXV5DhzKhviagaKtXFz
zmdR28VlaPV7IA4enHjB4L0JDcjLhdOcfuh6s5Q9pX+OzWlXD29hDSY+/QViQILYYGUHgF4XJVkk
7CG3++5Ei3MnVUvWtM0khnLrdQyVQ2GkXyZjEhSgV2btwgy3Ntlk91KBIiTUDGq/mEs3q0TKyeyw
+jhB32eNEUVABg/gFhmkJZezRqImrxBBy14RI3yxBrNx5UYe3D6K0fmZxY+01jJvdiBJuu0RIsPc
KZr1Uz1S0P15RjwFKY7vJslaRDiVp6k0QWFP8jrbftk2urKtMFp0QUMAF0cnL/KTDnIPZTsTRodP
dWp4A8rPGmT/TDoIhrdqCXE3EpGQ+ADi5nJejbxuwjHE8GKQFToqmJ6Sl1KX9ii7CCxxV/1/lhDc
0ugydd6LY5emrBLv4J7A1HDK7tBUN/oAgDX7HDpsqFv60cn00zcgPyLX+dm+/tmL5to6N9CisWza
VHCgSX4cKiWYza8l4rXa1FFY+ry9fGvbDoIw6LkHvRqje74cKbGdeGzZSEfzUNHbvntIQkHwexlR
/B4Olg3MaeipwR+53JEN8lK7LxnSR+vGOkhTEicIufuiApwnmn/Fo6Kcusq0U8+MC5SDUjmlxNse
59reWH6EejnOoazq2CxBzkHDpmObY/KdjpjHSNJrbx5sdVfNffLaS7LzvG15zW2XlrlDdDaoFVah
g6td6W8dubvTxuqb0mpf4ioXlNfWFhNey0QdwLwJvNDlIMc0lJWhwF6s6zr2h657Dh3yLWrUw/aQ
1sIIEBd9GOLCpKGgFA0JNip3Sf2qV7n6YCrTd62zP0cD2H/KVnsttfic6M4e2bvKpwmtD6kGCXdQ
dYB/EQIv21+0OskfH8THT4YlEaeq8UHh5FGwsZEyKLrukPe9oFV0zRBmF2gNTbfRecvduo5SdqBs
HCbwQ8k+tZ+i8jZTNL+Rn7YHxPY4f4mgqoy3Brq/GIk+t5SgdsljHQQLFvj6SfFVV0X51lULwLez
zinQbvJPYHYiEBvKjshUz/4U37WTiDhxba4gX/KPBW6urHJypGGCBUX6alkHCdwplv15CAWn9ZrX
g3oVCG0ZOX+EyZdTBf6nSi2g5uBGQzkrSB+UbZy99nUkFxCstqHL/WV7bVbHhQlDuRR5+Kt6bA6R
VXO0gT4vTOqpObg+EEeMZD5lmaB/ji9jsvcITmUkZEC+xNAmXCwhDaFege0ODOu+7DEhUAAxf6fV
2r2kIZ+2PbIV+plLe9wJQvWSGp0EJLq+j58kdMbcoLrhpai/OV7+K71TGDbvXO6pYKCra7gYJ3eg
VHGet/qAbdVY1IvCDFMLIpNhvz281YUDsAy3OkCdgDlcekozKSTtqhqbt42Dvr1FpsDP619/Kiz1
e9UWdrhZlKbciOR4wmiy+XvrpJ/1et79b0PhJoxJHkWNheaEvDkQJQ8kUiLSgx6rLNIWXl2aj8Hw
AIdMrZSclJi0uq3cvH+w1chVSsFw1h0d6VJg5Aw0XPA5HAg71UNlYU8NXs9q5yhtgSDaV3d5kL8S
gR9w6fPfIQmyY/9Y4+7kAogdvP5wMjF0gPqmuBFIO4sbcki/WsfthVo9ZhemuNMJdXXUXDT4Ailv
K+vBEpVS1v9+iOqwFlh0LHOBTarZ6FhIQfbSDZ3XNl6LfpjtEaw6gP5hgZssTZlCa8rharH0UBng
j51Kvxv+DMvwe8ssjHDTBCLHzOwkGLG6DA6t7+XKEuQhRDPFxrl4YVpdKcWZDhOy/kIRZuqigt/q
8bIYA/t9YQD8vXNmVFiKVMKrfDpjudzest1mEgQh74Xeq+gA6pwAtskg5eabJDNgjaS4x26ppqC8
odAEQOFlxM3QgBrNN+/VnVR7LN1aPKgHvCCmgyibsn5TLD6BGywZ0xLFTZzY6uPwizz0nZf+hTS+
zxQreqSSPtfnYUdyX5zuXZ1mgIgweoPltzmPDyOp6ZIKlkNwWSgkf8R5j2O8vQlFTErr88x2KGt3
Bas3d8rqGgrfVYFzghwtPZgJCrdIW92WZ/W++GEC2RPoqqsfUq9znWf6/1A9X/XZjw/gIQZVO0+I
wvEBdqiXfjPZ0H6cRExY/2WYHwENF2yCbD62Yggse8SyGs21pXA6jTHkA30NAtwgfUksFbCfaNQf
4ibuM4+Cj093h16pJ3fSpij1wsLp74qxM2qPkFx7BkUxXDBKiig9kKhsDzQ2SX8bkbwrXBohAyOI
AldnClxXrG8YvsHnj+wSzKRqBWI5rZmPmZLcNHmz2z4IVy8pJucNTDV69a4ANN0cV0DjYoMPJ3sP
ddgTuHeMILw3d4D234moplg0wm/yhTW+fpKoRqGHDvx8HsadNP20jEeWFWZa7GoueNGtnfFMSQtY
OSDvoXx0eXTVelg5WqaBVMupHoxYcgGdvC1NEasb2y9XQ0LUbICOEzh4kzMTA1be5D2bwAEtm92s
3zSk71y7NA7TALnrxH5NW4Bn9KwTVG7X3APg3H8sc4e/HlVEU5FOxPZxXMqEl/6cFUAFzB4gSYYh
Q9qIC/qsvAlbiMzhVQBkHA0h2yfCia2GLUsT3HFkOK2SzY6FsOUe7bXH3O+/O6/WHiHSzz+rqf2O
kBamTA5q1DSNo0YGVsqa4j269W4lKRdc+atZhKUN7tgBQmHMiAGnGzzls7IzbuYD8aOb+TT5ql89
xzvD397Aq17+sUQ8b9Y4W/icGE6Q6sneHpRTquARn0aCkG/djI5KB2g18ILjfI2oXQRoxogHqaL7
NLI9FS4dUxpsj2b1fIA29t9muBu4TJFtGycZT4CE3AOJEpAW3YGFcYpMsPpJQiJDthxXm3dhj3s9
DTbU9WaUAcBn0L2Vu2w/76MHENMEYqjg6m5dmOL2UlXEeZ848L7ZeKId5P3oj+2545uN3uNN4I/+
mTxuK7WZMRd6+f7QdQ7V2/iSPpcH3bVdK7DvmwfWGC+C6/4XmxbA9dAQtRC5XB6yzaCYE53hfoOH
ZsKUob988/9I+5LmuHWl2V/ECM7DFpx6kmTJkix5w7Blm/M889d/CZ17j9hovsaT78LeOMLZAAuF
Qg2Z+8oNHyW7IY09E/Dm8570W9ES2jnwgINTooPA56BqbyxRKOOrWVoXgEJt2I85ari5iftb+HF9
Vzc/GyjAQYKMmSO8ss+xqkaY27iBRRr6XtGedKPlXPKbiXlKMv4fBPYxqvdQillKxPCqP5wq9NSl
CykcTEVAlUrwk1uowNlgtyS19zfEBnDwK2zGXWVzZ8yWhpRcXz1n4xcTTXnyz+sbuO0SVxiMiQyz
tURjg/UFN2FLIHL8iMbV92bAPCDRMTj+f5DKUld+ca5XmIyFzHjRIEADpuyrB6Spn7W3eAdxW9S+
Q791lIOGAVvPgMJY8LPweQ+JTWe5Qqc2tXo01RCyyNIEcVsd7ycMZcZhZbfgaLy+sRsCFvh4UJhE
ezfEzNC+dQ4TmMiLJxUW2brRF0riLj5H+8VbnGUvkcQzQcyy2MWt8RTciard+CF3iHfzcFD5GNCy
QkWMLQu2MsiskQfCp81DkibPQft4fY2bJ30FwDjNOW3npk6QqFm6kVhC48gYfNdR4JYw1Xcdauvq
wQgHapuoGOkaSwOEYca2g3tGZrdunupiOWLIFUFb+xQEg0iKPOCECltGssZjjgVk/SDIMeAZpEqV
o5eP8owZtYLzqt7avzUIcw6aMTHB/QjvhVk50iyaMwaZXYP+T9c52c4tU0BnMJrPUKpBgp/5UphW
yopKkhCHhOXjYirfpNLgBAc8CMYVj4FZL1IEa4twtIJOI7G2u24D29/kv4tApfT8RFlZ0suNCXOr
a+VUSO3voo5dOZJ4c8HXVyKzfN61IGNmFpzDtjgp7hCZB1GMOd9j0+2ifwyEVnTMBcMR52sxammA
ghs+vUayvVASZRf+HjAt1O7nfWMX4FjgEapu7h50N6k8K+aB39MrK7dXRnULPsMeSTVFdgrlTiv+
GIgY/+ITrUAYOysrbUlAlYOAo7Ym2xzrr1KYJLbe6r+uA21+oxUQY20asvbRFII7vm+tvWEGJ7Xk
lDY3gyeUkv67Ye85jNWG5fHSBpmJOEb7mt6Ot7Uf7FEhNyOi+GD1PUJh2tH2mOe/vjDOZ2KvjUbK
kiaOcW1EU2FjBtOpBgjHLfvrKNuLw/wtSvAY5dfZkWJZbcRkEuEQOo82Sy6OsYsPkaPdKj5tmTS9
/E77iwexsYJkTF7ASGTdyljZGDVkXh7LIHeur2rTKFYIjD9dOjHKFgVOe0J+CRdR4naB8PS/YdDf
sLIKKHZOUaPjIlLnBb2XoNbN768jbN4Kq1VQC1khhKac1IWFDrmwMbCIo9SarqqhpQfEmdeRNm0N
s7HolIAdXEzaNZJYpB0lfIw0nSzSmzqAL0DhXd3bKGCawq2NGjYbhuRd2PULJYdHA5RdYFyoHhuS
onL+N4v5gGFcj4g2wyGm9RyIuZIs/mnmohtzy6PbH+cDhfE7mHUAZQ7NUpg3xh0ylD88TB8cLNv4
bvYEerGaLe6GhGPXHFA2J9sLGtpSe7juFDy3RSL6bYLh//yQ6tP/tolsEwByTcXci0ASJHQaac9D
n5O+ern+pbaP6b97yE4pxdoI5gsBx1QOXyoFhJMxp+VugwgROUU0FSPuBpMtaLzOj1AbFZbaGGDv
0TOn2Rde5MXDjqbP/dyD4QngjOYcpc1PtEJknFtglUaZmHALVg61YvQ3SN1vQSl2g8CTwHwfJWRf
TxgkgA4GFGYxC8P4h76X8F4zkEgIf1T70qUEQIOnHianXsj4RInSpMNw1B31q+bPINxDpthVDgqI
EkMYZ/3z+sfcPN2rX0M3ZuWtNPiqOCkSXMSSH1omBtLf9JpXe96M/lcgTCJIzYpOiAN8z6HC6Kis
VC3Jk3HE4KH4VvXarRhPHBvdXBbIbWSw9qDaxcaautSMekmfxZEAtrT0x6AMJDR4/ZPbYeAKhjHU
UTPzDs0PuE3u8RJ2Wz9whoN2Wzs6sQ65Z3xZOJcwMxDzT5oV5ZV/F8YYal1owqxTxMbRDwZGNZa3
+Y/2sjjIDUUEzPc9gZ5Z8oxe4oooT5NbOjEEQwqfd2Kop7wwY6gaYW5NxJADG2U34zyH7+/j+TBA
RSa8oQqa4o5bed/CAesd1Fzx9gGXBWM7nZGLfd8imm9dIbPNQ3cHXS4oV4HRqjvSzhbJDhVnctEj
Dk7BnrfMLcewhmeuJanOR2OMkXKu6tivpfHPEAleZjYtQb82x3tvOdY1FnM5DYuy9OmE+o2xgNs/
H+yex3KwvRpNE1HyQl8sO+YDAvlihP4KXHcsk8L4ZWT3BWZPTCHm+NPtpYCyD/Rz0DximRvKeFTj
OMH7KMgCzGS9VDzWns0ImJaz/4tAf8HacTWhbuS0jQFa848p7obMjneZFzgGiCZlYzefMsi48kYT
tvzKGpVx3kFh5OM44FGhJwqVHs9OXQvWw6AVvOt+edvsP5bH+mWzDOWpxC2h+lTNS3AVv93L3OO1
bRAfMMzpMptakgbordtG46JpsMgsAuYQMpu85+vWFbDeOPYcQZ9pKFWrIGK7/FIpw2Kqan+SrKGK
9otjVY35P5ogc5qCJNGMmeZMjDiw4xRxisnJAnDWxOaWy1yvpD6CkSuLJdtCJUAxYTkVurXvgjgi
hiD/RVYLvI4Khv7oJ3u/HFY2X6j6MmQjfCGEa35Fab6fI7Bd5LxBvE2jkDBWpSL7j/kK5miNcTNB
vRJGIeAOqXVrp8mjNyuIKFse4Y5Evzt7jSCB8i8Wc6AaQdDzxaBYO90Pd/FxfE6PSLA66U2wA3/h
j+xhPum7yFV5D45NF4UBI5T3UKAH8cO5A6kjMOg2BVIoehFHB8hDK9MjEqJctvnNIIFSofwXiDH9
WYwCBCM4yq1b/rBeZHfZWfbo6W/Rg4boLnR432/TSa0AGcuPzL6OZgFpvFksHFD1O6P1s6g4yc9N
EIhpybIBhhDcJ+fbFxtyr4Y6PKE5qj/TJN6VZh/bk8JTUdz8TBiNB6GZhq5WjflMbSuIhaThkM3T
QtIUtE+zf93VbiKAVRccGajuoUn3fCUgxQmXyeoKkssg5RQU68bQeZRpm7uFxitw1CBUAm/MOcYw
ogO+S3FyheQ0NojRzIFY+cP1hWxaGsoVEHFD1guTUcylEWYJ+OPRiwN5cco5KqP9d/i2ICMUvlJV
c/rU4CBurWuNyHydogyHeQpBWKTcTb0v27IroSSPycdDfDLvzBflueFO7252NaxBmQOVdHmXdGOI
mUsJ5I/yos9ElebIKUtl1yqB5CKBfhDKKiFg+dqX8/S7kJu/cMXgpsHjFL5Lvugpy5bKEIsWCcxA
F4L4ru7kICVxGuPbzi1IQjzORtO4nvGTEJxCP8q7wszFGEHXDNbSzqANLk7dSXGWXbWTDrQKDJoE
n9c3snEizsAYOxJySWvxeIWC8BQfkX360nU559Bt+P0zCMZwBJBXDgu0ue2inHaghinkmATDSVAD
u9Afo3hyr28g/f8u9g/My+DQVnDO2TlWa6jrUmm6xR4WedepQ+aIS/ndSvWj3C41CXvh8/4Rs8mY
lEILkYivxpx4dbHAwxBBtnjpaUxVoQ0LpC5/8c4FCobbMGACO2TfuaWGcD5fcqAouepKBQifDej+
TFWXczaQ5RKiDRCgB0D/pIa2L/hj5lYR+lSWcKZAj32Selv9AwIaO3ACb36R7NJZDumXzscDjPMm
2nAwQMVgCzgfQUugMM7ZnKVqLhegamrixZUXyxUYeH9dNw4eCPOtrCTQ2zTALhaxYhI9DG6rMXvM
8pCzhxuBFRZjYgNRw8O8D2P0HdpDSzTGY+6/hOJymBzQdnhn1omnyT0nNuVBMT5SLq2ojiSYX2ze
ll0BRbwvA/rLWo0nO8UDYsxCq5u+GkMwttRN6hbqTEJx8XJzV0eWc/0rbXklEfIK4DUHFSD+Pr9D
xawJNbGBy4i7xu47FHRTTsP3lpNYI1AnvIqv00qw+ryFHVQDtqxCb8dI6snobrV2HN+EftH81AAp
x/V1be7gal3KOWpsFXKOqhGaaYf+sBhISIuq20gvncSLpTaRMHQLiTqcJctg7DxDOUUScxDpD9JJ
M1+T6BhrD+bEm4bd/FAYysDkMISvIOR5vqCsT7RFsDBoXkxfy/FR4RH1b8U5YP36F4DlZhLCJcYp
AvN455n32gA9GQyLCnb2p3cUW3uWd9D+5bWdbF1YeClAUZCOEmNw+XxR9TiYiwLNQjuSBXsJ/FHw
A/U+EJ/NWLSr6Pd1m6Bfgr2uMEePjlfKR4cC3zlaDhaaSBtxfOeh8TrV9AIoioCzmWN6m19qBcN4
iQHv8KBN6CVlybGrz5m5rwO58K8vhofC2EONUZB4HqEMoqcREQe8uP6ijwytkyCKRVId7E1summS
S0VNFbVAj4fWE7SSv46i+jcX+gqDrnLlHFqtLvpiRq1fSDXwnOjIkqT4q0kETuV6c7tWQMwp7ag+
nFZhMfUcVndTXcu7YpSL/fWPsmXP0KQHSSt4lZFOZizM6pdWR4s9guh8JnlWI0jJI+izxiA8zat7
M7cEzKIIHFPYsus1KmNwVltOYjHi5KrdT9FCF8hrjGax6yvb2r91qMz40yDXoiSOK3iHtLKHAo3i
PGIBHgJjChoE1qAuimBcHH+k0lEZOQWwzV1aBavMPdTKi5pA9QQxoz4qthoGd2WPmR19ah6vb9VW
eySo1UHGgMgOkQlbMJzGRitic8BeOaNrkG6w4WdKGy51Z95BnwJxHTThvbkjlmPtecn1rfkIDWzz
lEcF1GcSy7esF1UaTAqEStJn9WB4C1hig53hU2EMfjvmxu0HMAxhU4IryMQzdlFOqlyZPRR0rGlC
cRTlEzE7NiD6nCIeOTI9PIz7PoNiDMSSp3GsUoQqFdLSBrrrmtIkpfI1MYRjkf4FEwrQwEdr4r5F
OwhjLlBXEBa9ARdQm/+u+l0pR0SuOO5iwyTPMJjNS0TRiNoMB9dEM6IWgqevzvdJ8/26PW4crDMU
Zt/aXAiRlsMnqjVln/QLaQTNvg6xbQUfm8V4V7M3lKapBZBGxGNip8bgQdEcrFxo6u+TgPd84aHR
f19dGkoWp6lqIOIv5++SBqFtVSSydNt0JsfpbVvcx7IYdz4suJ1Qp8PrbO6+D9a9heyHHB3kCoy5
9V+MRWvQuAFFBxSMUNdlIvE+WMRI6xHgBVbuyc0PyP/42vLdFDvn+sfadhCgHtYoExS02pnQYe61
tlA7MCN1L8pLt5d2IIG/V98UO0dZk5fN2rS+DzC2Y2zR5QKiSRAyyuPsTyHUeLr3j9cXtHHrYozp
3/Ww7WFlNcaynAACWp0OIsfTIH2bBOWU6hkxF8h2/oVID4JVGbE+tERADMBsYJaM0zSINchoFjEh
epAnL/IgasfIUnvO62lz+0xK2AzxMFAdMC5CmJJAGwWYIGijEYN903XOtcgDoP++Okz6qGWVqocF
kWLNVowoJprS81Q46YZcuO7VKhj/IBmQjK5acI+p/nT6KLz9xbgUfYj9u1mMY5iidixbevMJcWUn
8AoGb6jovTHrYiXI2oCIkIZ57IBjpBUy5OkhAjV5eOKpDxg9vBPuppd4ckAn7OS++LV3jIPqzF7g
oduToL/kJc/t0EZO0ea9n7YKtnTYkuaOwEcNkpLzr4c3m5xmVkKFnJLHSLXzB92u7qKv3aF30CZZ
ONJf5Yrho5CCU3ErIr5Alv8cNZvmGR3JM+6suwaN++lhwNDOP2POvE96mSE7x2L7vKYGd7BsAqt1
q33yKzyC2nX+DtopO7ZFzwQjM5L+0k7kz1ZfTGQwyMzeLkmVpNUCftT5EO4Kb9hJPoZbkPLnrfHi
CFIg0A/oKNihtVZnToc8qIYWWEVE8rh+qBWiDg2nw+XS5QNCh3lAvUSXMBrJuBEwYHeDOZURdlHy
gvhGyO30ILiNK3td/CLzpRjo5pydEwaQcSvqpGdgLX4HDPxMcXp/2A325Cal24Hf/voFcFm8QP0H
8S5lrsRMK+LQc4OESmxb1aPxovrpg7LT9yAy9FRP3vHnRy48GYPEuBhdKyFO1RsvOSaqiya8UVqZ
yM2jAiXhRJq9pJMdI+ZqBtDff7ab56ishFRkgblQ77IOn29059gGB5nU2jmeFPSYtxWBr5sjEnNl
ZC8iIAaYWW6pomEwbwDcjSJ42JI4Qot3NehfBjkX7tqosW6qQhi869+TWS5EnZCIwgVroJtPx4wO
c/JCUTdHaJTIRK/H21SoUxvqFzO0kAxemvC9r3K1s1Q/yoAIioWRZKrtJDKWE4+KUtYIvXDIdb/a
q7ayy+FZ8MctvOJL4aX31m15WHbmSbk3SUCa+9mjEhTysXiSb0MnFjCn9EmPcPGrmG2HZEqmx7Eo
EjHU7UW+ryuJE9oyPociIO+GNgQTeQpMQTJbbKUmSN/Q7EzERPsp5b/KgactdYkAMjs0tBrIg4AG
jSVHXxJk681sWYikPPdShc5tXuaVifuwBoyJQF0GnYg6ik/vbRCr0KU2ptpUcwiroUT8ZepbLwl7
JCcUPEJN4XmKhmNbyxPnqXPpSumRAHU+bj60SZnsWRRDYZyaOcWRwOs+OFDxgNjPjtqhOoRe+e36
Sdj2bCs0xhIMPKOQ2QFadFo8zZN25mO6V2z6lP984oBZGfPcCca2ruoJWJR2NzSPlTft4tPspYEf
vsSQFr6+NvrTV0cPZWJsJMII0EDpiCUs5k4q0hgn3zBe5hqrEm4H0XCDMXJMndcmxVjiBRBzF1Xx
INVDa72odUzK/rFBgvF/WwnjRLoOGR8xNF8gH2Prxpek+yNVX4zk1/+GwpiCptVTkSzGSwHt1RGa
d3EnOJ2c2LPCeRIw7vd8v9BNzQBZ/Tw2IZpwSS3dW3pHeipIxfPxV78+QBhja6ba0HMJIIs12qnS
QxXurjckO4Dbv75vlyHk2tAAxeRHlxZ3tikDavL6Z4gwgxYCbb0q1BFGZ7g1TDt9RVUItDJonuac
X95WMpHyBLEYYRwAnUnfFrTylOlXjSdOePkIoOtDRRwlKAVBpMIcJA3NkmUTgdMPx1YGaVevom6D
ygZuK8XNnfRr4HJ9xWYctMJkzpSAGexsSs2X5KQeIjvzWjLsJWirtH7ux/bgRsd63z8uNyE3JNk8
zR/IFwp5phJMnYItHSEdk6LncRnvOQYjb3mmFQRjMGM4ZtIgUgjsKKVBW37qX2qnP5XefJR5PXPs
jaJDthB3Mb4g2qUsdKMz5y3KkloYs+AlO41Uk4YO0t9a3xGZo/TPu1DosVo53Qss5tiVgVZEpRi8
VBEYfIfMn5qHsZIcufFGHpkYW1G8wGK2kSrM1mUevIiH9ra8j92xc6o/o4MYyh53pVf4/exc/3KM
U7lAZI6b2GedMcjBix7vwZzTBDeT/ioiML6OwhxqBgU8EtjjVdwR9rHSBgX2MESfbYCS9tEyOWkf
5nhdQDDhWdsGoTVowUuyR4Thp77iRzv+K21rIaiRK1D+RBuKzpauraifqnISXgTaGm899yDh1sWH
z2/WGoMxboyLK8iiCi9yY9jN6GcVaCGkmhOUbS8ENQjKnmSAc/f8i4BLfmlGMXxdjLkdPGWygocx
tYTiMBhz/rmSJaJOZP00ZP9Enc5psB0TIJVMqtqMRxIUf+L0zehQ25Gfrm/ahR2DngCJRXAUoIcW
NSvmlGLL+jzXaRG+NncC1CyqqCRG+7MPRc6JYS8Puhwg4M43daSf4YLOt05UBdBCz8oAXxfcm4dp
Hx+Gb92uAgFLQGTS3CRQo91dX97F5zrHZHM6c2PUZfCOueykcbTz5ba3eFHfe9r3zNVRFDRyoXYN
PVUoXZ2vLGwiUJ4lxUjQW4UC85v8I0cjZXmT3ui/jO8n5dCf5tO8H57kb5k/kjHkuImLM/yOj6wc
tHUhiaIy7q8OFcpRRfH38U47drt0n+z4won0v2GXiWcycke4QGgy8HyZBSbqpDG3oHZZFfFNafXd
a9bF2s0i6eYx7rrURVBv3ZtqY3FO3RayjsIzpRCjyRfm1AllEahNEI2oby/HIEPvWho8yBB/smMr
u1eL3qkrhcch8p6qOlsvbku8HKH7hNlZbC5jsFKvCEUbSffBjeTluxpPdaRFnORBJiL5NAfSuyNG
nh9MeHihQGqKOYlhO1dpGVsvehOQJf1WLjwynfffe7EeDGFR1WJMArMZZUGGSI6I9dSu6ctu+0ND
r69x2/vljfUAUh1vIOBAuJF8DXO03dPk53e5B4XB19hLfH7W8+JoihgsQgYN7BeIlNGfeG5NYawK
Q4P4IIIM3nJflDGRPjnzTrf0DIIJHZO+0otxCV7MwVlAMWMKr9e9y4VZKmAe1DTISsGdITvAGEhj
DdEYJr1O4iXwxnhX1C9JO5FKrk5U51Lm8bC/f6GzL/gOaFJJcwxdoA3xfM/0oFWrpWx10ttlRhZP
tOtD+/TTnGkPFb6ffDf8gbR99kwHB7P7dzbQYzRyTiPbdoB6BF33x8+gUe0qLGkNkD/WI37GWCBy
7cFUnXVeIvQE6stk0hR0Vcv3hazvl3HwrdbypCgnkQJJjEl0rUS2g/p+qE6R8ntaRM6T8jIWpD9O
R+eVqOiKhnvz/MfJGGQo4rzTiXoTZkSM7PzW8syEqBUZJWexMYflZCnh8f5eXKQMLGPOrdwrwRjD
FqYptU1hIsMw2XGAhBpvBHnT6lYLZKw6l5JmCFUsMBZvurhHt5xOcisgSTs7qo7y2sgx842lWbTn
goYHoFLSGL8fFtYSorXSIJbykKuhI6l3UjQ488LrPLx4MqDZEP8/SNahQYOSD7OHppxJuViFBor7
i/iQGq1BKkHymyUZMAsAdGVWP9etRU0ZvSJI6tGOSmSBmBMldmYlpKOpk7L15Kl9rpb2+bNOAgVj
SHmDRQiO96JJBvWWEOqYOb5REhZ2kWi7fgheS305tPrwNMrmrtAn/zomNYFzPwFMWuVBxgu3JUvM
pkD2SV3GDGdAwOMrq8DhzEG4/FRnCOzwXFQmTVtGWFVQz8+ZqfpVKN9pGsSw5fBQTfqf6wu6uCwU
jcoWwOO9X8RsmGp0MBq9rjWSVOYNqEUGgkYWB9E+j/18Y+fQ2I0GZQvRBmZx6LpXri0rtAHaOZVG
pEB8LdV038cBZ+t4EPR8ryBSHdcenqsagf8aidKD1k5afn9+v7AAVBpwV5homjrHyNANn1VyphFz
GhKvFuXT1JU9GU1uiwzLtPYe1iOegM/VITQNSz+HUoVZEUQBL4jZ713NQ/kS4pitDarc+Dul6Xsf
L3D7k3Do7sVdcgNOC3SxO9fXexmrIQQGwz/mzPAwg1AHs+BILnvIcOkD0W8Wj44xDQSvQJeKeOeg
CuJmpZiS7T+rXuExHzEflTRPdeBpZLYHPGVCP8fFUvm83DWbU3xHQss8JJBQclQvLFIJUaHJeuwv
BGb9cgGLZOrmT60nWgRiappvHExvPFZvOW+MiH64MyeCLV0DM0vsp3aZghrAZgP9HozLR6ZB5uIR
aXZOQHFxuikSrhh4KxRYLujlQq3VsJvhSCj11/cwaKrbUrFCOzCtaM8xFOrQL1aFcRs4fNpXwDr8
dlZaqc+zkUx5E9xNlpaPBLem+jzLMe7O2hj2kwQtKx08H042h80NnRGyF3TW8n7KhSPAsuHTdDwy
qB49O86PFphyqUe8702M/LxNjub1fngw3GTGZw2/JLvoUO44y+dgsiTThZrmkioBkyohQMxWR84x
ACcp9ABlj3ZloU30s/6OLnP1eKM/aeXvOl2L8qgDpJr03gQSr3rmRaQ00GY/6hqCGtgaYmpks67x
PlQDTQRNe70PZShYCpNwSESwoxhV+A2yUxCbnnjnkzqWa9CM+7OaLO2LENDQAyaZ9nsIVNKkD1An
InUu/I2bQzJIwyCchMPJsru2dSdIsQLzpPnixcldSsBP6wuWn7nCXv/cmOS771nDMZ9u7vOobXV8
OmWsPTU37Fb4bg6fVCa6QGG+XpGLVlslWNQUpsd0WH5HpsB7/F4+C96t8GPnmO8EhvFl6DSADF6x
jx9UqFZLga25Ipi+bKSJ8bTf8fQENg/b6msxl1JtCUO/gCqHLNn3VHmI22+c00wD4kvj+1gU46KV
eM5TpQFA542u4qEX+hjfGK5K6n3uFU+8oUjuJtJzuDpntdXjkWHAHhrHvJ8cxQnd7lgda6fE3QdC
453EayfibKHBZMCD0rSmhGoLaqTOoMun2vFBA3cMyYhkt4/yUYB46PVd3bqNcLrogBUIa5ChOF8k
uBMSo6iwyE4Da/j8KDexP+QckM1rXQfxPsYJMZSEppBzlGQQjHwpjIE0nvbVvEdHkV3b0Np09Z7g
yYgGRg+stM70en1xm4HSGpd5Y0npXJYCJCb+40FoDch0gEqoBwk9nslsbuZqmYwHqRZV7IIccKro
p0kI8q9vovjGWdOmkaxAGAcizyXyvBVAitPU24qn7EynMBAA0vAPfhiToVweY5b64h+vtQJlHEo/
lTOEmAAKGR6om6u2XBMLjZro5il9c9+4hi9aPpWKyG5GXmy2mUxff0bGtRhqakFCEegjZshvA0xf
vFfzwDOT1Xa912E8lsN79HFRmaMxBjV6UuhGz/dIqTmjL4LAHGLY6FL/oxwgpwTlmU/KYvxnnyFw
iGFsDWILjM9JB7EfqxzBYRplgo3gxV3KwAXv0fdohhJolYGr5bo9bdvsv4hsI3nVQP/E6oWBSIIu
7YdKNY7QsUBwoVbF43Wobcv9gGLSD80ozIHZ0MhXPZZpaQe6xImtNxEwlYHEMtrIkYk/9zPhGIzT
EgcDRFjU2C3brnHDNpHc6+vYDMBWKMxHalBbUtMOKNmIx5bgR11EdP2tQdY1NSKEXXdTxpt+3PxM
H5js1VCgzzRAR91ASjOxGx3ilMG3LOfNAm3unw4yDjT+40HN1nYSrUrFGpUrqnvjST3esVP1dH3z
eBCMJ9GXZqjaBRDpZNxOiXlA2ZKT5tq+uVfLYPxFLYZZ1PbAyE6NF97qB5ow1n+hDItYQTw1vsmx
iP8HInLw2DUwlqn0861ihSGusyKFEiw6SZu9+LTsSjv2w5NO2n1znzqW0/PKYFxIZiMxE1lNTfoO
iUvAAZeJR31T5yYPCZg2And+uP7lth0iehr/u0hmW0WZttyU79sqvciISXLbwhycjsE7yFhgUAQj
In7F39xN21/hMqd6kOCVmhy49R8ZzIWFh75Sy+3B2t/uFYzf0f3liflsYJoqyrd4ytEWcoU549UY
WU3cSjMRreTQZ/OhytSdqQgv1/d04zSAcA5DD/D1tF+WsZtkiZcpNiuUNIxckl3VqpYKWlThbH2O
Y4FeLJDIgKIaRhjR2MnmyJZczydDTjE+m3dd9SVYklb0hW4qtZtZCJPwTYrzWOe4441NRM4B85Ky
hBoOMs7npyIP2ykLo24mVd06SwsZEFFFHqf2rm/iJgx6RkH/BYIX9MSewwTpArE0pGZJprSFnSVT
76kzGM4MS/4kO+j7NkpIbKMghKAZcOdQVDPXQI4KZhHVqduUQrrr43Jw2wVN67mWNF6aJAWna2Vz
fdQKobqOzgW2ENYVbYKwEqPP+mAeA7W7UcOfDWgDru8i/enM88p6t/X/oDAxutaokWWlBXRahlwi
Y6ceIF3xFmgmSAvl3CDaAHU41YwxDt3U/nVs3gqZOL1SRcEU6bbqU3Jo0sKWJoGYNadatnXY6LAG
8reYJBcvzBHdYFKr4bAZvS8KiRsUf/G4x7SQqYFCB532eFKdmwfm+tNsmYBQIQ5IELAZM28mdGur
MJMHNicUWWgx+RwCInlSlcj4THoek87aJXprG8Pr57/HGoSxBTmdsk4SYHGx3EOf6L5T7zX123UM
ej+x9kYrHGDtszBdxjL3iXLdF0YFhpIxA8Vu1kB3DyROQ03qv3IQqKng4CJdDkC6p6vbuZBkSOuM
MK9Cfk5GFIqMnxGGL66vZ8u61iDMfTxVfdMWE0DU9mFEhmVUJec6wtanx1WEKi/kh1CEZ06JYOq1
1qlAAOWl04HPS0vyvTRzoqfNdViqQkemVPTXMAYmZWo7iJTuO1uKY9BMftx8uq8MlxFUaky0Z+Kc
oMXl/Ht0S9gkYmNOBG72Tpg7kXQz9aYmrw3rcsfAwgcQQ1M0EJ+xQFmXdtFAd0zvmq9CEdzHUXEb
VuXXz34YwNC0PvgJ4ELfabRX9tWlEDKUTByXTMyfxhEdO6buWXP26QTlOQyzbYMSaBmKXbjDUS7o
5qUgvdnfT33FwaHx1PnJpDh07BHzj7ABxs4isR50sQJOojUPUjz/KCf9UbTCY6EH6LeQmp2hNpw7
7tLqzjHpv6+2cA6jAURg+FJRKkkkCwINA7Px/i++kw67pjQOlEjkHGTSu7nPMgQKRYY+3THubhtp
elCVmmfgm6vBaDFqq9BcUdibpliUEolrOOm4gQ5BYiFBo7nX17IJYYEKg8420gTe+VqqGGe0X1A9
CQx9uOtMIzihpSDihFYbGTTEPDQwxYk1L33O0qbdIEzKiIcN+IQ0L4YAATRT3/oTkk3QkePVGjeW
BTx4H4SLqOiyAXEOUr2uC2XkCKaCpFrpofvOvr5zG9lIuqYPDMZTm2HYWkUFDAVloe4kORheiN3A
weyRO2VEsadbqLt6vCfF5YVHYdFZgjsI9RtWQ3MwunLIVHUkxfIlg39N5t4Tq8d8tjhnacPrQWMc
TI+YREN3HRsvGkqEyaYF3yyaMdxUfw0r5P4Tg7ONm19qhcLECFBILpQR1yqR++6kglgqkCLn+pfa
XIiKBSAkRX8HO4GRSHkfF3oI7WerdzQBIxCS7IVIS1yHeS+DMg4PQ28fOHSpK+cDmjtoPYXQTZ1r
q0DLpxgudWDLUa4OX+pAKIVTG0yCreRVSuqoNSK/KisF7JmzZkU7a9QX3jHYeN3DWFY/iW7N6idl
xmwUtYKlQz7UE11I5tynPpVxwyjPUT5ae94w7ObnXAEyh6KSEFc2MgCD8Aan3g4znjgLD4F5DTYx
mkELuiQdQaUkokGDRyCxecLQ/0GVs6njZTetbasQVP8TLkjoNGB2v/xd1zWZJM4B2/YgKyBms9CH
G4lSDyAYweBATMGun0p0wWEWuz51PxKMYTQ3mc8taNMtujTUjwUyWzhVAnhz6QJbd3IEUnm66Ubo
RPR1p3cWd95PNyZYh0O74pcA6Hm+wDbQJoQAFG8PtmW3jVVdmWe0rY/24Ez7FNVYTLtDRwwdhvf9
7vqRpLfXBRgaG9FrA0i0X5+bvwzCqgDPH6ShQbRNJzXo4Dl/IHj7mH3gsC3zw9zmVdMCh06dWi/J
a/Mau4Lde4Mr+CLkVfjZrM19XEEy8XURTFOApmgKObyTW3Q/DVypaEjA8Kn0en0fNz2oCQY+DKOg
7+KiAWQStEBOKJj5pi1vXfNL5jbkb7vPFQhzE4hqUOZm9v6x4t18EzkpKMOjXXFf2Fy/SHfn0jA+
FsSGcNBpH4cyoLsHKsNfyo6qDWQPzT1/Im7TODCGBFkIGbcPZsjOjbAohiEZS/BqmjfZI0hvFkzO
25QQvcNYz15yRYJmcc6tupFkRbvDCpQ54p1ZiAbSuv80PWgoPf8Bo1DhIH/tmHd6cw8adid54nE/
XQ7L0S4LEYcNtQvaTckcuHyopaJqDAor2rIdYZ2C2xHDlx1xp+2vW+Wm/1yhsdUMNeuyXG2BFtyY
fgLyj1fZVXalHzzqGIyWXBMNClCV9riVxK0b4v9I+47muGGl21/EKuawZZqsLFnWhmXLNnPO/PXf
gfzuFQeDO7D9Fl65Sj0NNhodz1kLpi5fmFUYlq4hWLkFyb0PFJLEjRD4gYQGw9yeTL7oZvzC6w+w
/PbHgD4qbKQvRX1UAGsN8xgLiKIxEJhn3zF06ShSiuB2L+r3nMMlV4C+ImthVLm8bMCSgSFFhH87
LXMaMHIErnSDgVXsOnSOePj7EQIyoIPtg/+nHGU6cm2idiiRK2nsyj5zy3YbSNk/3YtPKRcmIwiz
GgSQMg2POjY6Ui/YKbm9PNTvGCIwMJnoYqLL5UEBMXLhtXI0ZoYoiOGMUhgsFbFfmMv20h0iw9cK
TKPrtthz93BYDm51mvREv5YbQh4M0LPV7GqXe+VGeoheBqw48NmRPwaXr5gKDYNVyXXW9CM8d7Ib
dtkj2fmZfd2vnnnHyPYvq89HhdixVKZVPUOtWfWrXeWHXooSxnZySrRwYr/gkXWwgs31MVKhYDga
QZ8lkCcYlacJoYOhS49z0Xi2Qb0Pk/if0+tcd3KTrxhQe0zAYIX1DwCfSPYEYB4FQwJh60TWC8+X
sZ72tYaUT1GXqgfAM76dMgrvShM/VEV0Xy85r/PMfN7Xgih/os2GOk4prgAQn33DBznpMboh28Z/
DXuJlOfMldD1OjEHM7Ge4avBjbRKuBGKlzTQD0G1cCJ4tnkAfJeMFWqIXM+f9h7gcpMUI+PLix9h
8pJzR7nYXwe0VQCFMgit27kAqZnlQSLuavCDTXpobqXDsA2xcCz6sgsg/+34xeKksTyRlDkGgqrm
U4LkwID5DSgPtwvg0RJeA4J9dJ+aUXYnmQP2zCKIUafZLzLd08Acy7lZ7PfyUwZlcmGLPavKgMlV
iqPvWxvriLojPIQ/1TsU1ebXwBbtaK8k7oLne/P/KZx6z+ZU7kGKAeHSLUrURejFN2TgKHwzcLGB
3vHalnaBJoJPIhSuo2RGKITv7Lfh0Pg+tdBp5RzjeAd/wbAVYCTjZ1yEFMuYgyciIQl9bVeceN7k
fzjoT7lUZBQLqtBZ5MhJwUFygbCd2OJu8BYv2ddfSs79Y9YVMXf4XzWpnKHQkzyIgM0KcaMnfisH
rGSaLrrEXqnYIhDSuQAX7KBzJZK681jLF6tFhobmW5zZ8Q2ZQcTw2pPlvNevsy/62NZ/5Ia67Pf8
U1FynVaFnKo3wiFaIJU8sYX/mTSXt7xAjK2hLKIvTSbQUWc8l6Xr8J8KyR1qL9s1mBV6aME+iJlp
e34X36MbGTGEyH0fLrdD4LRXUqn7EsLNYBwdD1G0I6kDUjIwO39QSvLSBqaH+5REz/OLkyVUBtGP
JH+ERjJO7ezWdFUbXtV+ziO74EYuTHe3kkndi1FN0iiPIbMPI0eWUAXsv153ODwJ1FUQegKgTc5P
Mh6wA2KbOrfizRNBmf4y1GFe5FCiIdDZsZ17BE4GZFtHrM7jJc8cbkJJvvpFaLk6N8ruAfFpYQId
WpELbok3hewqRwKaXXlicgzSIxqLbubIm/El6P5gw5zpR1fyqQdYFAYpajvIjyvMTCpF/p4bwddK
Ft/CxeC8vOxKwUoY9fR2hh6qEjFMcS87ugPo3xu98Ft/8ki6HgF5X7Cz1+tmw3ahK6HUQ9zE8jJl
CYQK7T7YoBaYuNqDfsRu+Xjs3uoIPpRbneCdKuVhsmpqc2zgIQuz7Aadk+g99iLfcsD42HrEg86H
9nu75YFO8IyJ/P/KiU6CKVjZALGDT/LZYTv6wuYPyoGs2tzKldGPb4EquJULkANAXdnGxD+6XTkg
LUJnOvGrETRB7u9wV1bB+yuC91ezqC8oVYGQVMS3AFzFb++nbevNntjayjb4qKF1L8ovYkAEf0He
9IC573fNKeKMhrGf/tXPoD5qJxN83wI/o/XCbeQUj6GXO+qj7Jc+pox4EQ7bF30qTX3LURZ7SSJV
NS16qIESFg4dr1ZwXcQFktAktJ0o/H4nRq/4ahyyj3xz9DXTEV1AbbqAuefcRrbp/EcttGTPTTRd
smIsybccnZm8TXbm5xt0ysE0nN5yY1RmVPHfT4ZZJkpaM0yjRaQRytXmERwBzrTvd8ne2vEiQ/aj
axgYd8NEOpYJz0UlpZxP8YwApqknt9Ndyzh24MC8fnwsIaZBOBOx+wmgdkqIXBlGGVfZZEshQJ2R
9UWqGxe1e10Kyy4w/0VYyNCABRbHuSqmUXcD5vMmu5OO8NhuyX1pWXqsJOjUBo+sz6DfG9PJnrp+
U4H3OUbdOJ55c9rMSG8th7K2MJnAWTxDDmkESWA3i0xbFgAC72eHfEd2vPDyDYkbLPbAK62wCgJg
FgITCxY6MVjz8TCtvHFjxY06luJv4xvgLQQn3al+8OUPavDE91BhBGQRmHZgFpCJofNPthSJUSvG
TFaieqDwRY4a7eN7IFxISMa+SxsCR2wattC5qewl97x1TpZvPJNPTGqlqwYKhrrql9HOgDYUkyxF
d5H/SY5sjwJIvK2n6ybKeGAxBwwMVICHYUuWBlXMjBDjbyYgE0tT/aGZmOIWHoAy/SMZuU1Mhq1C
FAaPMTILxFqNUq3UpETDlAzsZLDcRjQe5NAwnGiUbwtZ2VqF+TUOo7deCnZ6kjxlafbaptjAjPpN
ZGQ7SSx5iH2M6ymTvAUWhRVhUFedn3WP9Yd06qE7yC3sKAAN8hxw16eIwdAGBWglzEUApgJchJTW
U1SLQh/jg5K3VjpKaHMYIjIkdNY9+SAGDm8vkhUcYkwCXxRsyEA3o0vI4J+wlMFsiQljj+gYhE69
MV3tPn5aXmRgH4a+yVsAZX5aoOkD5RmSRToR7IK6zacFIrPMQbPFFsvblN/3Y36vlRTKnSZJH8VA
hiNPXrFrdt1djLih8nIA6UqevuUX45lqYXqdYKbgVtI9AKkMUynTG2TwSPW6RPuSNqWrFco/VIAA
/4LiIGRhVpjewgpCo7bybsAXA0kkzARk7WAxhZcDAufsjuDGJGURb/z+D7HRWjC9jIVuNEC6Jwiu
IrNxAxUbZ50W8HopzGP8VO8D4W3l0+ZottJygJRImO8yMfNBa13YXSxzHvWPP3Rx11aCqAs9DZUp
zV1PDKQ5CkcZSOBkidu4SWsbVgkwPAxbNQ7gtvbA3t1KOx77HtObrn4A9XroZpUCFgua1sFdWgf2
PJq2agIjgz+ww/QrK1GUXxGXEGhBNUQRKoDIaTd4Ke50d3KMfe5Hqs1NxRgB55mtkK+8+opmW/cy
CC3JK6z4kWRHvvmjgnkiV8FuJljq7esv0yUQFkbaV7dCppLcFIsX+VJBw+EVJTuvJ2KB555uyDKm
/jT6yn52ZbuVPX7fn+lqVqdLZUo6yMWieYSyifCmC7IddJyZV7aXXkmgkqBIqbG5S7T73QBvnezR
RGNY9G19C6ATTs7F1gcoGITMHW89fTMUCdAcwwjDNMzKrkbhObbaR84HY5skgOIBrClhG4EKEo0x
EPWEmGS0IyDnwBB2sI6gAsE42jYbA5TTTxyJ5DNcXvhPiZRa4mgsVQC9PhLafB8exrdetattvhnA
KpJ/nY/TS+nO25k7p8q+DZ+SqZveqvEoTCUkt16wAZP8PpPAN9C7kgdNOy7V78eo8DVNqeuu9HWQ
jsSHLreA4HFANBZ7w1YQbekwYUKkdetjZWsOdscOys/mpDlA6uCXY3hfmPIBqjlEQb7gVzRuIdv9
DQpPzoImE1jUMcTKr1iwX47PU6ZcQJMtglrOkBdOhpN2P8wu3kgRZwHhA6P84mwxbAw+CgIWQEOw
if0Ul5GgYLIUtAPYvI4Aq2z39xg99mrXuFf2ktfdKyG6L7w5DeZ7sZJMuZm4yotIIJOzfVI/SUa5
nU3smy/a7M6z8XD9sjBdAHJeFVPOwIelX+FmEHK9JZPO7QCoFl2yC6lyrotgOzUsMWroCICFg46o
qyURSkP8yNQUH+n0su2+kFshuspPNbIrBzOKvM4OSy/wFwGbimD9YFXu/F3S5xYjmCYyNvIQ5hh/
Rx2EhNctlmN3GJly5y+8sIk1xyCvZVKRqDqZ2tRokCnuNT/fl4jUCLRzfsvNBzna0RGalLeqUSYf
6cMbAaXJMD4U2sERZJSAlMh+8p55Zgy1Uo02k1RJlDhQIHDwpXcgnxzEjbyPt2RsKTwCH9adb1PV
bTCuiFnF3E7euK1slpNB5gLkDkIIjmt5/kETYUwGcfz4oKTWQBAfciQwma3th038yHsamSk3htBM
MKmACQ57lufyRqtEr0LA25hmdvVEihvx2xRimoKALgylwwOzZH5SUHoSvpMPWpVzeWqkqsOSQb+6
kNudOiiNb4xTxlk+ZN5FsCMjucXuCcDUKBs1hb5rig5AC+Oitb7QpMOpwmS+l2AN+Tj3sbQTyri1
yyq2XFmcOme0ckD+BkP6ktdWt+nLpnAsvS18jpNgOfXVD6NrVkmmL1YQ4oeRgdTyAfihpQMuj9BD
/IN4ssUyqOBGHu/Sso4deb4FFEzAgqn0nhk6CUpbLhFCOgy3L6I/G4t3XTOeBCoa0dJeSMMSElSh
wj3pjPY0xEXI8eOsiU15rQgVehRRZAlSBDH6qX4Jt+Op153kccoBMIyNGWf6afycvxs//kE38FIQ
RB1AVNOdClFYhKzrw9E2CmE3BuWvsTV+XhfBajARqlaC8o0hWJR/zy+G0onRHLY5XvtvwnsYAowv
9JrD4BR2uWuHP+BnYlriSiAVXqhZWBbqAIECkgjJeovKbtsunGYdUwiUIRgXACmlR77B+J6adZTg
urd+q2i2Xj/h8bSvnx1bCArNKGepWNKlbEJvm7oQK9iE1nRALy63SmiifdyhuHVdENPGcYP+I4j8
/yoL1I1FlioFgkyp9JIxv9Or8PG6CLYdrGRQdtAHRaXoQH/Giw7GPjTF0KcGtMXs97tor+0aHkcw
KwoDZuF/daLMIInmymosIq/LbLmbdvW0z5DPqq3FCTVZklRsSQH33CS7wdRn6jDWlmMPFZGmABpQ
IDyAFMvHAiJ4eULOh2KJQkwEKGushZMF9PMPJSt9O2kC3nE9/SUqe63UnVDSvdgKPc7nYiVheMgU
bIfj+mKR7lwS8B3LsEk1JAWv+UsGYJ/YbjFCBaYQ3R3f68YlYB0v1kuKyiMv+mOZIxqoWBDB6jBw
16m3Wx+rIkOIhKHEajiCnfSoCcKOox+j94Vd3k8Z1ElmQdOnUwoZv2lkSLIXbrSN6Uf3vDeKdY3X
oqijzFV1kkuy41aBGltBm7t9iZd3jj7M7/Wpj0bFV4Wp6dVUQ8joyPvB3EqBXXWoEQOvHs3n5Nvs
Jlu93XQ33Ym3ZsNs5awUpEsEYajnXUbOUkF7ZfbA/LNX7zQAeYGgYsPRk3wXOq1by5LP7XKRhBZc
gUh41PtUt6VXfS+gxV5juUd3u71wnz2kT9lD5hUbXhmQ8xk16pqbcy0OgQQtLQLRFLlzejvFnLyH
J4NyxLEUibNgQrsR2Pj61G4ToXrQhZJ3u8kpXTtF8jvWDl9Xll6aoEtxxMUm+Dsxtm2EBsUGMiig
ude/GudC07n40GjD3CcQF845qFLQzOw4B8eTQLuMOpWNGKuk4IEAnUg8OyUm164rwfK9WCQDnA/8
7uWuNJLRYo5auHm9BbEwXuQRJAJKeDuk368LYukC12cgq4f3u0ANStqljhMDqUsxgAQg79sEPAy8
xVtW8xetVwko68CPFxUay6dMY6AVWwgl1E2zs3zt0Ne26VbAfy6wBTFt5kNKBij/KRVdy6Ucb5NX
aioKH3LzGwXLf1ARFJ7D1gDjLUF/ArYCivnjNnX7O/3wb/2f9Q+g3LE+RbklDvgBSjncA2HeFkbZ
KXUe3g7zK+J0ga6NNiTKs+dXLIIdLWUOMU0lPgWK9hRmHe8ak79BX2OAIaMDSXaugLNwLmPo80rK
J7gLJLnpN0KErO/iXTQjzVV99TBuc841Y+afa4lUVCXr2VRKOSRqt8Emf+gfMDTgWt7oNzr47AiY
Ie/1ZGbya5HU1a5NkC0pBUQOQGwN9mBy99FCwwpz9/AHw1vsz/Z5pJR5zk3TKWCsR/awDe6jrxU2
FYiC0XeyNA2CmWiff7l+3RmwmAAVWX1FyiCHaejlniAJCFtSBU4PQ2Hnk5PcFoUduDFqQtpLhcSp
I0gJJ26b9yNX+d9WJNOUaaqUV4M6fhxw9hQ/Bk7lhjfqfjpOR1J2qzzCnLkD7t17607ACTWcEpeU
kG2HPuw7QadGfeCcCeuB+jwTlK7OLVuIjUVUa/ymj3Y3hnS17oM3UfSB1VZwqUjIRbl2BOTnrN5D
DXND4UIu0hjvlqnfZKNiK2nsXteKWOo1KZRL6GUryAQyK2F1dbrJB0A7JWW01wFW7+a94qaq/OO6
RGZNc32OxNxXigFEohvzASLB8weKLex4H8vdcC9wV9w4ngG4T+eS5qBox0KEJHkTnAIMlPUP7Sb0
DC/ddd9yREzcLQfeR6N8kTmKQaASXwQmK18UoptcNndqmHK6bDwxlP+JlgxkJ8T/COqvRU7tKomc
Wn/jfKjrrhxzCefHV8AHYK0A14lMlIxvHbn6YHd1Zd88NJPNJ0tnJuRr06DcTtp3aQ1yCkzhvsp7
wv/QHJaNDkx71U881Oo21zVkhk/kjTKxRA6MI8r4y6wSi4q8h5H6UJWmrYlfDdFvZt6UL/u9WAmi
TF7KckspSwiSbpX3ZodBIx+cshnalYXHL0AyrWMljTJ7o5ZbrZkgDYG7PY13elu7+vDr+tnxhFCW
nquzFYKGDPujlqdKol2pqh3CFK9LIQdz4Z5WqlCGXhd4pmTw1aGW+ixZ23Tg8ZqzTW4lgTJyIFuj
h0U+DXnKqzsk3V5+QmN3N+7U78WGN3TKMznKwtFiKZslhDiQM9u5XNhtkLggU9/GAq/axHTtn5rR
9cAhL2QjmNEjW0R505T3nWLYsdbYBXhwo5mXivwPG8fInapgzx6lJ8pbVIkw9Qq6DY0/Yeo79YTc
Dk+NZ21Kf/zOWz9im9+nNMowLE3tkkZF5lPUObaAanF8bsVMd+JatL78pQ1iCln7GAhVQHwP4LBz
xYAYKApBD5bCMm7ews741gyic10Es9SO2tJ/D4+yQlkEGpQo4/AGvzt2gW2AgUfaToBdMW+tX8NN
fQvSnc11oay7ZRLIMBNzqBa4+871EvIRmb1UjXYOyGqQN9gdlxiZ9YKYmATR0IQCuAsNF7akuZmW
WoOEDj1FUBXfigIGoe38tWqAwFD749YcOVVwVuXHAMkUBnh1IHtd0Gj2o5AvyGKBw2wTemvJbp/J
tDqYDZ55XXWGzYM+lvAegp8JI6c6FaMJUSq3JQgE8dmCe8MntC/lccSkEhnF56Wpl98LwjDPCsZn
DO9dYC0UwjQonQxhyVLcAMTdj9X0/bpJXN4qIgIVVsPEYA0wdc9NwgSUkQEcycGu4m99eleopa0I
vIIxseVznw4hBsqcaLxCCr1BPBXFPOkLPpCC2e7RUjaVUW+6/EVXbqfmOAe76zqxP9JKHnV/43Hq
56klcPd7fV/5wS7E9ieZc0ay4PLQpsiluaYc5ZfqdqzBfARhyS7cKluC7wOk7A3v7jI/1Eonyl+U
U6UBlRNiGlF8yTPDkYfuVwtGrutnxzQ50MTiCgNiGbBr5/Yw9ImQYoQd/FhCfhPkEcgXNfP5X2Sg
UQoqJ4AwfdznVTogm6BgjkU0/BTzVA5vmWn+dQxB7O1TAGXUuqD3pWxAgLRYroAVXEl5va4C82sA
VRtiMNeD8zo/pqkWalMNICFSMTpf+7oyeL20cB6Ji4+BgV00HnS0tDFwLdIDE4sQIHSItcRJBB04
HbUzR5b3l4pQIihFYqvrsomIaLo9WLPsJd6p6FpeF3IRAhEh8JgqQNk+KI3PTyuYGnEaFwsJfJK6
ipwAXuUeXINuWfCCu4vvQiRZOCuMIgG/lI7v9Sow5S6UIGkUACkcuyK6RikW4P5BoZUY8uFWFqyU
szxlC8RY2uiogHWcOrxx6g9pGf/l+6wkEYVXktKmN820gqQEExRt9rJMGB6ZeDEq09BWUiiHaS65
OFoqpOSxdI+g53lQeV+GJ4Jyk0NXm4pkiYnTyf1eG5XjVGj+9a/CEqHiEUOhBqCRMITzs4oFoa8T
g2iBQpWcvHUaZ7L2coIJ5rWWQH13SRHTSSqVxBE3LaBXNS+KXPFX5GRuvgkxGf4rvrN+JTdkgy2+
EwGOEbu8BhDrLgEvWSbodVjAoJ1naHRJGJdQMisBKFF80TCALqEXYFq8VeuPkbqzlw3a4sKiywDE
MNWiqwFJoJhqHMSJA/71b8lxultu1Y0Inp4ckEXhvtl2e7D19JkTPKqAfDMxOHrLU/cyuKN+BBWz
jgAQW6IoSZx5n9ypHplI1W9BWwVeCP3huv1cdiPOZX3UsVaXLQqGJU4FKFwcha3mtt74rdwbUAvL
EuNReFu8zim4TJEsn4X1DNBQY0qUhGLnZhsVURnnS5c4YfMe1M8FiEVz2BVHN+LILz7mSgplurMQ
ayk4nRIHUCAbwy9P4aYD1RHZr+MHrgwjlUEICRRpCdNQFt07XzqgC4hlnTrLmHhYj8B4nYha8rTl
KMWTQ0UrY2UKQMtuUmfedC4YLp3yDa/LEqFKThQjS3zYYT0EHKd8WUJAgrjWjzJK7GTNWpkAWjQn
bN7poT6BKMtOvpFEoNv8AeAHw7WtBdKN9dAKdbOToCgEmmB6xwR8ujHepl/gKQEVTPWAoTrO4TLM
Ep18AjUuYlsR00XnZgnKkCooepBij6Lsts1PzItib9bihDhsKQTHmpynSE9kyqlRlqhZpI6kT66o
3agd7p04c97ry2ybfDAEIBj9wiwJXPi5MvIUKMK4QJnyF3Yvc7JnuhHQv5lMAGQSbvEPstm/Tbch
FGrJuNLYWQDhxbnQJmnbodJz7K0J+rOYR6dWnnkln8tchwgho9cgzwUypkKuyMpnIcCexrmRUyc4
yWATW7aat+x/m3/h8OIE1gOI0VkAqqN4Csgp2ig6sB6LUqenjojB3fyGTLSCStA27o1DuFefJkfY
LCeQ2OzKrXHHH9pn3XcVQDsfpLrYBaSc2CImitRjH94Zmn4fK5tC/lYFw76fXq47FvJlKGdJZt00
HCvCSRA7nB8q6HNTQ80gp2jRpFBrv8pONXChZzHzVAzwXpfGtM51vYkyFNCnVZmgB4kzvSZPopce
ou4DtFK1R1cc7Px9eo5dbimDKEEruZZKOU/TTOJp7lDlSnbRU7xdDigCoPtNfFjp/wEc6EWiDEsF
5S52BBCbY0SZstQZPHDIEjJyBy3J7XbjqXQAzvDUgCvDK0cA9g1e8AqMgciOcfJvfz0cTcmnThlL
uJJSzZBv1dvcvCuaH5zPyLLOtYLUgeZ9kyyTAgFq4KmRg2rAwdwZb4FAIA2cuQR1MZZ4ivvQV3lb
sswXCUQ+QGWXJcBy0tNPujYpzRhGWBa4VffYM3HaZ+FBtcFJsVmexwOvH856j3A7UOLD5QBfBNUZ
XcwlaNQ0IRcRFXNjBigvr7zMFGGBhRX/Pjapz+9gnudjnrTo+jbGu2y+lEhOr38vngDqTUBapcXt
CAHiXHqS3Homz12yAkrEAp86UH4k0cemGGKIKI7NTnLRLCGQzKRtYit7YW8eUON1Gp87IHGBY0VM
fSWXqL56FEJJ0OIi0JEkxA/hNvOH1DFuC+A4quWtESFfETgO83LR6UMisJnJGj6BvTiXqADKeO4V
pPhqBZAkxCdwYOleA/pL7HRb4si0FxU0CL7JCSBYXgVhO2qYHy8tjWys41XH+iiYBOc9GT0BMuFO
2HSbljNzwjIWXQXrDihrZB3DSuf6Ce2k5rpepuCmvlGE2zhROdbIusGKhoKbYmG+63IUSm5yMA8o
GkbgkG3NWE8BVGD8s37v3aQDw7fgcmcuGDqdSaT8VQN0VimLABwyKl8r4TiHnMI87+9TNpE0VdmC
nQU0W/FO6gVHTHg4/JeLvFhzBf4JOlA4s8t2QwSQBWWJltgxn3ss8hIcvCCxB+BpWIEjYm3xhpie
4qCXrLpa55a8Ej3L8H9z3oFzAeGCTl21uW3kPuzE2Cky5yOx2qCZLT/ZcoEHbXECW7bL29itEm53
4HJxE8oD+UVB2AcAAYSB5zaZguVbKEUD2akfbq0DweObQLDQAvZIcMxjfmoOxnOGodvczQUnOoG4
MX/kUY0TI6GiCLT+EN5aKiYSESxRP2Ia5WzOhdhBnXUnRr+yZKsMN5FmeFIbg+3i63WnzYqVSKsR
AQS5i6JIGZUSDmGcTFA6OFkEEQKrHMCGwepYdZAtm2C5TuofQC6ybHklli4NZJFatfEMyrg+njDq
cWq1f7gsawHUOTZpHIWxCAGh9CR0jxqofa6fHCM6WR8cnQI1bTZIVgoBaSTbRTI7k/g1iZ7UmLMd
xsjozuRQVhlWVRNlCuTUceqifG3HLThDATh6XR2Z90Woi1c0Syp1LeQYki0+5Dm2a7Vt9NTcAZJk
V9wSIgllo7yMsp19t054fwB8Jp34bBI8famXoR8yFNFlcq7NuwR+sQATC3nE83Q8bangOQlHNYgH
SKmsAPiNmCQoOBNGrHLf2Yej4mNEtqY6kw+n3FrHzu8Bx6QDa9qxgPnsF1tBs/OnaVNkdnGTY/G9
3ar3yTMvZGKfJlm2VQEkB96kc3eSWVLVmgnepCp0G6wPwGABXcLZlWEf5qcQykSLdDIFbcHD1C0v
qXDSR140RH7lpVP8FEDZpj4XkhRn0EK/t2zVMTob45uo00zeciru2+31q8BTh7LAckq1vCNnJpRf
S0wqqKBZuC6B91Uo6+uUJcXoLw4sExrX6o6Vgfmcv147IM+ZofxuExPO8PNPr82DsKiNGjstsLDg
xGfzF+J/77omjMz+TAj1fJgWaGJHII45umA6VfKkVT+C+UcOZHPxX0oza1n0NupQg3BUNiCLML9U
t8sBJbvnCgm27s8HfXava8Z2iJ/np1MvSGjq2dCgYg98xWon7vMH1SNggYKneeOmBmJG7DTogud3
MvyTjZoGiMH47pBzwPSARGSkranEMJXSKO0suh2C3omjb21sOrG2cB4BpuWvVKYucijEUZRaULkX
T0H5TdIfr58psYaLe7z6+9Q9nsHCpIkA5EBc9Zu7RwNKW8PtADCDSBNQgSAoJHyYH3nkKl+LcVZa
331YiuSfIif3jAMZptpMexJCFvv4Vn/IfV6J92PF/1K/T7mUy+8sKdeqAJ6j9bqj4ha3zVH0xOdy
g3rsffIQ3AKl24ld6a5//IMCFDMiWWlNXfipm7sOgztww+9kUKPfCDfFQXubvzYf+KvVJi85d4Rt
nJ/6Urc/i5sqb4lEUxQOgCY/hiKS01LZqXVp2ChFcLJG9odFVozd5o8JOepO6moihk2P6Lh3es/c
5N/MPYlXSekZq4tAsXCAEo5iGy8rZh4t6kAg/LEI+yAlN8qbOawjvOVCOzs55sjLNLUTvfekggeN
xdTRwvQV8ADIVaHBlGZQxSpFBVnd67gngKHifvZ0RzkI3nwHxuzpJXSGEx9IiaXjWi5lvHo9FG0b
Qq4VCl7VNF5Rf9Gt2S5H6R+ev7UkylBnqTbysoekqrPcsvaTYHCi6Mt1X8PyZRaqJzhDC0gx9KqO
XqGN0KlKjBbPjzT+Ni2v1/8+q1OA9AwAvaTPiC4I9YhjMj5bTJKpkh7SZtyEbxZBFcJesv1HiD4s
52lhQAaFdBWr4yL1fRY90aQBzKdwntWuOcYP/c34sKBGI3gqDF/7RbauZXcu7OrEK26zApa1bOqL
LdpkBRieQ8CSHovoqzkfMl4QebnVgHhlLYNyJsGoVkMQwZnM+26nbPVdujNtsjXGi++YpaGVJDr5
BDp2hSV8SNJuB7jpBVtqRBaBKPuNqHzdUjiHR48YpFMUt7mAwwszTOKrX9Qwt6Uo5rzdTCng/raw
dATsMDo6yiQhCCIgwjhhqdtmdMClsk3j6R9UUZFXm5h7xawW9Y30RQ81sUM0InSRa2IEWm1rG0Nu
HF3YX+hTDj15DcTkrCp7yEkAq5/Cx+pmbdlRWb1iJdQGF+XznCt3lZC5lazfhj2WXXM9tZe64uXF
TDey+iWU54+rqh0x1oEAt89OWVlu46j5h1IFBm3/c6gKyX5W0crY5nOXqRAhZW9CfZCMu+sfjacC
FdUVc5F1g0kOU8FEb/gcjf/iz0Eri8k9gl5DN2blqtfFpZUR9ujL0czVja5Mj0IgcHINph4aiuHA
LgVVLh2Qz5YyFiZJaJok/hZ01ou8xA/Xj4p5iVYiqE+hxkCTtyxcokqP7ahZfBOj11nFI1JnVt2w
NPNfVahP0oPBCCOuUKUMuue61zyE3rsxL7y4G/2wHDN7trSDOLZHuTWPs14j27BKVy96sNuora+U
3T+Umda/iBz+ygh1APk20gjN5eiUZ6abD2ifFjKnKMI7X/L/KymjEZVmvxAnJXpj23tF/iUIYo6d
MAOZ1eFSD/NSdKqcixAiTbo/Dq9SC1iaeDti4+q6tTAFmRgkNcHHC6gd6sy6OFQDqwxiR2wzZ1H7
vZrfDrN2HyW8LR7mua0kUeeWxigk6R0kDbXb94sTJ8/zyFOH/QKvpNAHZ5XdkmaIrrHtB9aIfLNs
6l0CLDhe65h3cFQoA4CQbpo0qJOVgGfzoF2cuVJsLqE9tzpYvQxBkfzrH4uhHYanEA1qOvG0GMI7
t72yLUmuItfOkMuehW2DMbWl9EttNbYQvmrpnSyeasG9LpVRRUC7Er5K0YBQjh0HStWwCzDjGJk1
2lDSa/Cr39SlU+DdfKmdpwCpymZCQlr/mF0DDIypi1hbA/eQHz5aP67/kksTOv8hVAiXo83dIbzH
gEn7EMf33fAjFX9eF8HIf89lUOFBmdY1gWiGsvsYecSjuSdEGc3t9/yEBsPjsHcSsnGtfUvus1PM
CfgvjYoItzQgo2sGgYijvm8zdmVp6TVu4oPeLjbGXuwq/ZlonOeU4bwl9GYUHdBehgogSuqRSOap
WjRLqDG0Y73q3+ZTDDw0gmM4Hvun4aRv/2BgjaEcCsaihX4whGs0TegSt/0wTmWDysLsGRhXM3fh
JtgRqQTeDx0BZ+SDJ17aDB51Gc7NxGoVRpSoKzNn1dBJ85AhUIbNgqQHnKgpJrwM1F6B0FyEf7AA
zMiriFA0veFQUcGhaS5DQBQVZSGCnxRUTt0unE+ZT8AIgNeqHpI9NxsgN5Au2mA3AwmpagFakJ6j
SSUg3C0YU3XM0/xCgMwK39y1rgWoVIWUpzDPKfgWt91IHgdKrCoCzBCNfkWSdLrRPo5GOhgFGm9L
lshgKY02QRjxlmkYh4kZQEUlYIlAtccOyvmlaBcFQ9w6Ao1xD1ZbpDrVgYwkAX4Wqzt/jQiD3aq1
MOr6C6MWSVWEQDOIUy+bwbvAG29k3T0ykQOuXCw/YPaJuuTzKElVJkcFmirpQ9cfxp/pyXKstxLg
icfcHVtn0B2QN/LWhRj370wu9dRj22KxtAUwi2r7LueFqxsPEwatkpHTSmFkPoTnAAOcGJQjl538
kFWEVBVmMNcqFGy9unY0IFWQAZf8KNxHW8JB/PeTR5KE7R4MIZJ60wUujVAYydSbYe5I/ZdRftGt
ghMkXdo5nl1MDesiSiSI3OkHsB+kdG7xqIGCTveCBiumU9+Pm+tPD1MKehzIDcDGjRmq82MTwBNv
YTi0dqa82gL0lQTQQD66LoQbQlB4XFMzN6kqKTWoRrR9mo37RI7dAGSXcxK4oCH+MYrjPtTSTR/I
fx2fk/VIBc4YwwkAK6IUTHMsFrbgUHYCeN3IesqwkyEN2+sKMv39SghlfEU/zjPqPOBeEwN/ig6y
UG5lAFpcl3KJKgGeHTLdoWEOGi6X9vBTIFilasYWYM2KnaFhwiJxqy8DFqtfQAG873GvTgKvdExb
CCYcIBYRAqwE80b0dvW8jL2xgOLHzn+13wQU/+8z37yrGlua7fj/SLuyJblxJPlFNON9vJJMZmZd
qluleqFJ1RJvgjdAfv06qme3M0Faomt2Z8z2QWMVCTAQCER4uP+wXpf3rvVVGShOjBvcKpoQQBBy
VB9I9879sgAWz/F6NcPQLnmko176XZw+Qh/4bhxkdFni1wOi3VOhkQQIC7ITFGjObY1qOhpsySq/
tPsoUY2/+sS7MbtE4iSrzwfkNzIfgKQhloRxQ1fIf6oYsIc2ZqDgfRv/0J+c6d8FQ1H5nUbOVfbW
7GXzAetPB2voFqCJico/fEZYGJmsGbMkpe+wafahqPfesfF42SnXm8dtePxLaVDPEvlynL7B46eE
DQiWB3V1W+lQnGI/LhtZ1fb51p1aERKqvDE61i2w0l8NYX4/6X57l77RO2TlgHvns+8+1XcxlCgA
vpCkrbIFCl+tq9WUxTNMo4xTJH49z2xfYgi2wjyfYUuO+PYX+2c3hWs6M2jXNCaMWc2tof7KZ0kd
Qfb3+b+f3JKqlc4ZuLbhEcv9sDx2quQalv19vpknf99JwYlltvj75dz5ZnvXGHV42RVkFoTD2jqM
tXYHCwnJU5/p7IFqi+RSFDNb0duEq7ctych6/hWU+gdV6I1n/zDyKVQrIMRTWYtM5l9CpHPzGQQt
KoxlVbU37KuWpmGBkZ7L27bi1RLXJMSC1DMXVVVmML/c6FfqDtylgNcXPsNQGe8CcnCi+wsJoPsr
gYboZeOSbyb2DTzLUIZ+gu0h83Z4HfpxIkNp8106fRUIyxN7BU01VIOZ8E8GWlofDA3XdmoHaGY8
Ju5yoOYwBj0jT5fXtcJVi1aF2NBgkq1aTCyMAnMJpnFoSwMt6yUYwpp2LvFB+gm9iiT8f/rMZzJ8
csxMJyvBZcAPQX1d9+TKTu/ruJGc5U3HhEAN8I0gtfDEi39io6OUDoxQR/Wt2QtUFTqa9ReL+J9b
aHlIP4Gd9VayLUasA3TQAz+ppg+1HQexKeNAWqcSuDtOLAgxNW6XdMTIEgK4Qdu7vAKvUz1e20o6
H7Rek2zapquD2UTDWBJG/03hNFO71PuEYTkouCt+PM5BOdJUcp5W+fTnpp1YEQ5z23mk7CZYsY3S
faOpAS4+NjjKtT4W6UMaL11QObS5JmauowDukQNkumdJPvPZvF+duX9+hTgMWE+UmJBaxqfbE4CY
jsuNFwHpg0dkRF8UCIs0P5Pn3EXhisNhszClR0XiPZs+evIThLwgAfk/SgT4tjlxjx1UQYv+WMSR
5JjLrAjHPO3beGg7LHSK0nv6x/sgj8Yh2Vl37lN+V/b+/NxJxx63HAnMLnj/gf1CBab8/CaN49nJ
6xLJYmHP13lRaMGcGF8FFHA/QjMFwp0AiAHoKFymBh3svKt4/JosjJ2Af1SHCCNjkg3cOoGnZoT7
1F6UBX1crCXPVb9189AFqKgaGl/3ZCLZm9t2siLh/LWJDkJwkCL4udn/1PLhPh1iyfS9zIRw+BSM
OU6sxaaNdaUGTTdZvusOocTntnKQkz0T1QhqbdJYTPidGaaTX96DR3qHkS7tugrssHz1rIjc5zsv
LDpff7xsW7JAseA/jLpLrAKmW8V+7uPi6HTal00g3LuejnFeaISsnlykWgzUSEtQPnpF8iPt9oQ0
yttXlwEbHupBrg7idFAIn58g4sVaYtiwgUffe2Wwn57sI6036tyC4GzTkI2kjWGh7hNrDw1XzVcq
5klOz4p6ACQ4qCS7oAl0DR3BQDAz6DbRR8VKwU/tXgH9o4Hcp9uxnT4F+kGGxVtVPkVrgns3o9U6
rQdrFEpR7GYBkRXsfWr/JCF0BWWOzkP0+S2C1QEehnEt1TbBaXX+maaqaBP8L1LIwSYH7GAe/Uck
ZfS7vbRoLbMmXBgWqkBuiqIxWJKyA/sU2mVIfqdHXcpyto56GEXhKjCY17KhPStE8MKuXKu1VUyR
OkocLt1k+7RzxkPWWNreVTtHknpwNxA3kgsxezoEhUAOxr31JCnM3FFdvBb21CR97KrqR0cGLeyQ
62gMvY621fxZxczF5VO28TSHFB6qMaaJYRikioK/2EtFcsaGFFSnfXFwlrt4hqZFGaXhB6QRnjHp
15DrZfc52C7JgzbO36lpUbzUbGiDzB6mB8294Y8Zh0jey6u6OU4DTKDgBnwGFikqzXZG09E0YTAR
0p3LXhpINTmg4WCvVQ/wWH3HEJilomnbC/vHqpBwdIvuLJNHceKHuvNtYre++kvy3XjaK7gLVgbV
bjgoqlEiCR/BIIdrT1PqzzjnfFoL+ldPnD7CAW2i+l02uLgVV07tiTirZS7Q5RxhbwhdxEqfsymj
vRI2eDbt5ajMVUPg7y/3f+sTUS+m2dd6rsGefWu9lQ3eZclu8smb+6HfmIcskjLErG9s7ir/GBQ+
WtWNqtMlMNjv1D/DTXaACNMVbutjfFiC8i4/tE/VkxLKMp6t6+HMrvC+cb1FK+sBzlIeq0c+efqx
BM3dtE+krTfZCoUIM8R9EtuoT/iVkqIbn8x3JY16Nz3WGtjxa11WN9iIoBZnUIKsEETvHLFuAEbe
Ia0IDl+hls69UqXHYVL7oFD1MkLzTxJN1lk+vt+JNeFqGHWd1DlUDZCVWtCuabosuy/SwnpMpqII
L5++zQN+YkvwlT4dC2uqeFjRGDhp4I3262UL224BNA9uA5S2AeA4vw5Kr567KkZwzCEkXUFJsw2n
XRJUUR38dy54YktwDNB0ZFOdjvhQ+ZEjYNIISHN3r0Yk/Hrn7fNgnxgT7lW6DJpNHL4ws/ywDR8Z
/k/J3vHtX8VGQCLQbkHnCMXz873LvBLczFrLcyC6G1lYge+p2cXftKCAvZ2sTr/p5yfmhCt0MQlx
a6dL/ZS5b0w1IgeFuN74WbSqL1nZZtT/x5TIc+PUtPdoAVPmvsLTNWwiduDM2mwJyD0J5XM4m55+
YlA4VdbCrMae+dra3vLBO8PVQCWrktkQTtNC2x5sWbCBJ/PLlPh2LBvA2T5NJ8sQTlM+xsOsG/AI
c1/eV7v4OEY0/JyIkUbZzdXwNwvnIkJJTDCVWNSzCwZTXuVEs4kJBvNB4gWb/n1iQjivvbXUk9d9
+rcW2crT/3pBXwWecQXWgoPEoGxNwpnNFjstqwUGeRqlmK88jUKICJM+NP4MjygJy5lKZTb5qTvJ
h5uEllObw2bWjo/oV3q9JmkNySwIL0zqMualfBudNnvtBtAZ0xfJxm1euVzjjBPtQdlE2DiilqMd
uyRF6Ync1fA8CMB6gXOIj21Iw7oOofIeKn9M6etlO68/sSxs31KNzOhtWOYalqh9UayzK29UG5kb
w2WiRmoz+fryxMc25D2D7XzxxL6wuWrbDnWtwH5+HCHWwMOU7Vt/8s9RAxlOdKOiisv/xJoQ8fMS
g1dJ2vwdFxskUWNU3wFOKE/X+Bdb3S2eoaOZrkNxQqy5KQnXGSCwxKJ4/z53ryYXoggxhLLw//4N
nJK9srduGJgDbwjq+LonElZ1A2SlHRTCfWbaxV8xzZSgrnPlitWM7pCXy6DEm9k31OtN4LRAB7Ti
hCiHnKqYFMd8Z/Kkj6gh9N+s6ploWuCl3g9Vb/aN0d43eh+a3RWq95Cfjy4fna0ln/4CIcYVNgQ9
LQ+/wFZuEkXf6eQttx/YJJsU55fz2ffErJTBUarQITSABRI8Ry8aWsy19ceEykd1NRxoBMDRQYb8
XYMHMDGFCQELDwx4jiu6TczavtWmqUUNYTGiktRWkKr2mxKz/eBAd5Bm76nTP5Zx85D1y3vbKaif
pOQYT+5bqcvEONenE+AkIBxR1oBHmYBOnAfXpOiAi3XHFo8dPp6f7eb82guGHR/UrIqAyeal1w51
blB8PiruFLuZA4MsKp+BV+KnxsENMi27vwOQ7LuuQ4JgUchc5jru3YIvEYTavc/tWTsMS2q3gC4F
X/RVwZSQwOS5o4DFER8XbR2kmPSGFQ+taUAMR1aylO6jkF0YoKuls/WfD5cb4WDt+GVshrbnG0vg
moEchyI1KpzFusyWsvFgdAiRb4AcJ213wDnfci704kkDcYpkQ9e9KewoCswWIOSAiWJA49w/G91o
isqaGkj90AVTr5g+fSxDqDDnO/CicRoogMZZjQcR6Dkx9jqF7ffL31RfJVnCTxCOSMsmHNAYP4EG
yjdKANEPWGgGfVC1Po/3Htq3ZqDs+tCCdB7EwjSUKP4LCWD9/HeIJ6cHC0phpbTxu+xFN8rn3Hoh
NZAsl5e7yoUEK8JpoYml5JOC1ermsI89Z79Ikq11QqKDuhJ3I3hAQbmICuf5J+3VT03xYkC7kf4Z
r417ekV37AYxL6xusTxg/NJH5/XrchWAlQJSisomPEpDsUz0XrNozJxxwy1AzaA/RyiS7N46noIu
GqHdU8FjB0OO4K/K3E6uPlV/aNCVUXPf7+vhE0TQDwhvTSBLyFdJCCTyUJoGreTfUhVCwFFVkvZq
4f4BMBKvJc8vkp+TfCJ7dQUbvAUOTDqkGwEk8ISNm0xC09mBq5U3OF+QvnrGbP9T9tIcHFDjlr6Z
oXU6vSgY7P+iM8IwPhVQrRBww3SssLwlN/qyRGfJj4vvjvmtTJ8v//315zJB9gXkO2gHoWHiiAD/
tugSzhqQ+F3IQrf0jcOA/BTDxOjX7b3j1wssnw8AC1hjDOK44DI+9/1mHk11tmEvR43Puv4krEQQ
a/5F22J97wm2hM3LcmtSLAu2uBamBS1KY68hMMkbJOviumBJuIvSflZzlMKg5odnjTd80uZ9co3e
qLo/7bvb8Zuc/3MdlwWrolcagMpoHtbHIi0yyd5A5RRfESVpbziWUbFHWy0akm/5Lv4wgvIwFD6m
DYpIBo1fp3T8h+DYQ9wHqieIa+cfFWmzkw/xf5bP5ei8CvMT/c3wyKepyW55y81Q4rjcUc6yVdg0
NBslQSRtQKMKcYbNSgyoOmokvP7TXvGS+OC7fvs87KUp6yrIcFu6AVo63MWcFfF8fSRVOzanFPWY
B8pJ8XbZLo0ANrvC05FzwX2TF8NXJnEUMeSKQSbM+msoG5+bNI24AGF0nPnO7IVlOYHntJK8K/if
ONtBiCUBiooqJH/ZrJRJMrScupKBpScHxwPUuX1V+SH5SNzvBRMIXTjq6DxhwsYUMoeeTYVao/TM
lUzpK2Jm2DxVcEtQMNYhnyuUNn039u3UotiEtXtv7twaFr0ncCQc9Z0Rjre8PzPtYLLzs/BfdGhk
RoWglhe0iltwxUJzz0Wo0ZGI1t946fg/RlNoaUp5EmVGhei2OFQflI7v7SvdcTLUJtIgosqNqhXS
UV7LkIXvDZc5210hzvWFtmSdmyCOOF4dELPZ1S7QgRKvkVkRfH+2U9BoUqwsP9ooUnpRccUOfF2L
7XOnkW8m98OVn0IYCkVKFzxpIsIi7w27TW2sixNLjfsBN4Wy/xeTZqug5fBBun/sCEFLzW0ogxiw
QwPHX27KMA+7A7lJD83e+mrmIJgSjl5WN5kKQEKB0daQ6OkhMbq95DtxD7uwa+JZU8x5zmwoc2I1
LGTHMkzBw2P62pWxa/YyLYnVHC3o0E73TsxUNC/GKCKBNV7G06Adm9d+GYf0dkHKEh+4vLqNxhC3
jQY4cHo8KFNwZO2zJ1kVauUv4GqA0BywCdB44fkZduakIkttbUGu2M4gIqvu/i6yZffyi4ffK2cb
DDPIzzD1AIpv0A4I944NGroRZS7igyr3m+W1dWAZ5GHR2Ws2qZi6cJvw8iddxRTBoLAuMnnl2E5s
Dpq0AsPHwY5BPe9KoI6rZPrTCKZmeUpt4zScb95CCXoCjBCfqMT5pjj1B/6HvxKqxUEel5KpqXUS
KFgTYnPVNp5iejXxwR1Xo+RrZ9bbrBEoGWlQI35Bn3uMhg6tMOZqh8xqSGTmhipBX6wimvAjhFhN
m9YbK0upfRaPLyjAQWeG/r786TZNYCAHnL02CI8twVcGSzHtNuugNmdiRKY2jO+NZUqAOTr/NCuH
PDEi+MeS1mXsUDBg8XZihjR3/NmhDwIUfkD2E6CQb/q39NEI2og8ZRHLd5fXuOmermFhQBIDhXiy
nHtOr6TIJxyYdymmu/NnAzKcy/RfGLE0FccNICBMzAru6TkJsdS8mwNNQz+kgCr19K59mYwdQ2+Y
CMMDiEPS8ckEjyizgpHW5H+dWjcKi2+cL1NGcBNAoYEMCBEE7BDCZW10KBZnGBoIEp0FHV77fMy4
zGxJzNg4YbAD5I3BB6iRrwp2qDvYA61LsE5lqopabhvkLoibqR0CT3Yk9vDLQ3NFS8sHDE3KiILW
LoGBUvtTwgL5MnSczl2CajPK1v2wBK12lduoAbRJMOfPl/2Ou/W524PoCPzvNhTQHGtFyObG3jxj
vnoJZkV/7ehbT8GNNjZRhxlkFYWOKpHs6caqUIFHlQaNHAgHis0yh9aGOxMTqtRl9Tue7Gxn5Qmm
QDD48tVHAOjReDcFJXkVwwWf7eKTm6xdFAo1Nw9pwpy6Ozpq5q+xANGOJKdbLwhiZBoYE0zAWDlZ
2vlnSpyqrsZkgXbQ1IRx80j7H1i7xMj6YoERHTkcyvkWpzA/N9Iytcdtw8NQxeWtXLVWfLTt7626
I4sPmFgTXPaL9f0M1WvOms0bQ5jUFmJuRussns208gGCQcGTmLukrf8MNn0qJxuq82osK05uLRH0
bxxrbGLKWSTrLpnTZLTFhGfc6sGy5D6pUdAYrsxU4hcSQ5+H/sQvVMC/9MaAIWjA7R3o5OkuWgZ9
rF3XRfbr8jZuOQfWgn4QVxhEZnX+3WJv6lKN5JU/1CSK06tyAeLLbSXesb4gXRQkec4BoKCHhtq5
lTZflNFV+gpttCw5TJ75VxLn+eHyUraMYFDVRSkEU+jI286NTFhdpSkEE7guSX71Qw/kTVV03y9b
2dqwUyvCNRzbVlpbE6xQs7x2F6K+94xNd7Nmygbetyy5GFAG56WFrr2oQlExY/TyBpqMeTzeEEU5
OiV7mEr1y/EOcxsAhaMMif+sypy412OyTDCTKPeJe9Oy7+UkScFWK+EVaXx+RJ/PYRFhz+oCQw6x
p1c+h/DYanLfgghbIzK9ZpkZwcu0Nh7tUoWZwp13JP4DLgBQNsmaiBIr4kyFG9M8ozqsLJn7DfxZ
V1mKUtRSfHzRzyBfrEL7EVcsgOura8itEfmKrKsAJCzu+4kcodKJi9zaXTazOjSfZpAIobaA5rOY
QBA6OHBpo/K7unwCd9OdoihSPR8dJ+/sDv804qpIFTh5poh/tp2szljSggOYWHowkRjlhdJ56OPB
uB6MJOzrPMLbZwLNsnKscmhpuiabD4OTqvvLy934eGByAAMB9hbjguJA1NL26uRO4O/XBu0G/KGh
kcVvpaFKQtG2GewoOF9wHVp8Q04iOLP0FFgyj0K1I31clIDS+pmWklPF45m4q/jTeKF+5hCiWBpe
x11iYt7KJ0aPgVhlT8bCt/Lm2Ljs6MkYQreW9EkcgRgBiQ5xRD+21KxUU4xckUX9rTfZFNSkatFn
Jq3kZl9df/AWJJMOdNeRHSH8nW/ekKlZ21qoMOQDSV+MtEzfC28o2kiJWyXziaMxU3IKtraSi+wC
goELHhXtc5PoAVOlIwULVJPszCHejRCNVqw3PZ0ORM0kTrhu/PAVGjhtlonUD++dc3PDYqCfNdv8
bOfLt7Ez29e5rJ1oqmr00qtJvQZDvX6f9e18i4YfuZ3bWwb2CiNWZYWkrfPPlVdx/KFkhnL++U+x
syGfK2LSYDSMIzOHGzvTJYdh2wSffeAUIPiw5yZqdazqYUEkc9WFhZm9TMDzpJJaw5aRky0VcyZd
o9kEoqfKV/HQUocfhfHVmt7nNwN0BlSDYE8RoTNOp3cMOgi1T4kBDb3YKKYZoEqMb0lypU1fxHPg
fw0J22XpmQKhZA9pjAXJ8iBPzPqH2ywoqyUGGhJ+0ucTeKvwHpHF6c09BAEH+L3hEp4YtdRhwMCe
GuNRRdh1S3OUoIb/wheQommfbQkknUImkJa0MLwlYcD9TxEcHyPFxc/LIX5z/2yMogAdByUhsZ7s
6dnQFzWUpTvjN8pK1XsyRwgk/iTlEd20hEYOaEtcUDjpwmL0Wa17LUEA9hjeIW2joIbdOl3Q2rN9
owNidaX0VAmreMRMLDG6gLhmd6gtiselalWA0eeGFYB62cadOMU74BWSCOO0X5VF17nrgjjVhU8A
9iCe8YY4KjGWigV6da1AUYpVf6bq9fKur9E5MII01YUlB9e8+JAoR6ujkwcjTPPHPwvaTeygH43e
H9/QCMUcifd82eKWt0J3kVNbmeClEcOKl9GlWdwaBu3Zn5RvLjPCyxb49xMv2FMLwvfVUlKhZw6+
jryd299t2XYRlH+7nT1PYzCg4neNKvxvd04zCV3SlmNZyE/wH6RLulgYGKiWd5pSQ2Fu6Z6qCdxM
xahMQdvV8a6l3YfVjvHT5bVu3kmnNoWUxSLJ6Lpjw4L02Bw5ceTgdztvD9NoI8t6WVtX/Kkx4dU5
6kbRGSrBvE/XAcMUK3kENEnvW6hl3bk6M14ur24rebE0Q0NIQCFpReDYVn2KwcMGzCtExxHLaLNr
BzMN7bLMo8um1g15HAS0xP/vuhO8piCeugwx3lP2LTTEXjGL+tmZSZ7JEXUKMBhIYWpbJ8EGBpjj
OvmIqHBjoIhVNNpo4wX3U3vLM5+F5T0asBA94jof+o5LijmBBhlNTLoE2X1+MK/TXSadOdjaZdwb
kGnAhDHnyTy/6Ge9oflgoAbUJ5VxaJfuN5h7psjtv6rFxwMaHpO4iHFLIUUUDOEdW9pViyvSzns9
BIw1C3sySA7h1q7iOQyY2Ce8SdTCc7KpnRLbwjuP5fX9YlMvqppYRqmzaQVkbCD50AHaEotzJKFL
+flSYFmM0Blkw5dpXvhmcaowTMgbePYI3tHlNQ7EwCr0jZdnZjpRRgFSif+67Pab3x6CDCYeVVzw
ka/z5MUTG5TahmKiZtVRBzP/ifXHHlLI9Hm5DHa2FR1xvDQoPyBjR7Jybgrtabcgs1phdMtx/0oT
HbIciV1kHy0diuobVAys4q7Ew67YXV7j1rc6NSyssWu7xUuhD+i7zYdNb5O+kaR+G2ERDMm65QKa
iJ6B2NpEAC6MeIYemgMCgMVvepIdEZTVB8ac6UhBdxB+eUVnBoWHiD5qGcXoSe1Py1D7YB8Mwez1
9l/YQPEPrJpbzMAN6FGnsUK3JSvK+kEdR+uuAXeZ5NG48W0AdAE5Iz4QLIlZX921epbGuKttvbzt
vGzEq5haEiPrAS70pZBv6GjsWChpieOQVqVmGLUC9ajtsCTQjGpPMs2H4vuBFMNvS2uCqcFkqzv3
oJUe9KfFlMkJbLmIrSG8mhZUSAwRDqVpw5TmA3hCa324zdVHR8sOuYopsv/i1YaWATizgc03gPAU
wsZSxUB5xS06Sxi3QLHVL5xBsp0bMYNLigFliZ4BbPF/P4kZyjTFVqO7MDFVv0ae5gCg+KK27MuN
Knw2vAWgwMcFYwCKOjdEp7wHGgOfbTHT3o9zgP7RevZL1fz6nQFoAp4eaOkANbrqiDGaJNZQEV/v
ibJnYFIOGi3/cjUdy0FdCX0x3PpgiBLa6rE2tW2hAgFhT06gTt+r5fvlI7vxYVCpB+UubiWo+Igt
sLicQOiTo5+dzlow9E6kE0jBpO7+spmNQA7n0m3UQVwUQsQnQ0vmSiO2iZdaR8rIrNI7y7vLCEdQ
Fba97zRL9vzcSs5wRaEKzet/kA0SAp7HbKVv6qkG5HYO5l0dji9Is3l6xKXJmiu7l9Ltb72MUPi0
wJIEenSwhAreV3p4KsQ6ZBDwlBmBxgOla6cYkVYfx+UeooB+VuP1yPZ5fZ06qh6SeLnSKPEkl8tG
hMTPcJF2g6EUd6dwbfIeodt4Tu1bI3hziWP+0Vv99+UvuuU4eGkCM4liP+pJQtDo7Akhw2zAV5bd
oOUHLo0fGXpLl41sPMvMUyNCgl3hjJO4w2nWO5SUi4xG9lT8nDILINt+CpAcvlM9kcmsbDkrKti8
SAbuaxQJz2MIzjwZKwd4oMHunMBp9TqK48a9Kl01fkxIq+xIushaQBvfDIU5G4TD6AKgOsn//TRC
uhT8TRkwQURLroC5vfMSGUHfxrqAdMXTHQ8gXqkWPpnaZWqVJNkS9KBhqF0WcvEzb+l3lddA/fn1
y98OgRidYphDb0tktutBbYyenD0HlvYbV7nP2EedXDN4vTP9sqkE7bS5thNrwmnPUBWsBkudg87q
MYFl5jeZUh71ob2mU/bOykUS/tc4OVRXeGkX7oFHw2rqGqiBVlMUHZH5Nn0u/0JP+uBE5KrdF3sa
7QkG+1Cu2Jk3+QFVovsqGh6glre7vMVb8ebsRwhOo3WemjA3I5hayv+qj+5PPK4ZZrPUqGNhGyVR
rRwkJlfYys91f5559JLRSjz3U43UaQIJWoDl9srHuE92VRAf2uPwIBdj2Agx/EHDw8unKeH0p7M3
WTpdgENi70m5h6f5sSurT2wlemdWBM9pDFo0PV8QhEOi+BWzZqF6JEf6PB/MR8nmba4IxMqY1AdL
BDAa55tXlSokx10A1Mi8i/fVrtrX37mwKjh7vukRH1WWg263neTEqOAkfWfGvVbBU1nUvurBfDtd
WzvbTx/NqAqzUFY9X5Occg9BU56jJ3A8LL4JJ5GMYJAexTREMho0NximSw5GCOBa4AG02ry6H8sr
288HGcJmc2tPrAqFgrny0lZTE+Jny5GUju/Z15wJ5vIH/NSEFOqEZ2tbeX+HFwAonQOOjq270G4C
90F5Mq9MDCnGR3Q+ml/ssX719pgXhIbAeNNmGPOJfcwtRrKBiY0rA5NfuOcxiA7pCbERArEx1uZG
sgSs4SqZI+jxm1pCXrj5NTGMBTAHbkOuoHH+NUtLi6E/Z/CvqQaj7ZOr+AgpxqMSoDMRGIGxq76N
v2Sw+/XXROvWBSuqDQ4DSO0JPjsWWQ3+DDQGMVV8bFXMhHh2c9OD6ELyRdd7CEMoZnDhbmidusLy
FlubZoxOQACl/jHGrwr7edljNhdy8vf18+3T3XyEpKlV+4bR7NMC4G3WfDd7yVeSWRHiimmRbJo9
Ew/vbLgfi+XKcJ88XjW7vJj1i/R8s4SvAgJXZnmJirG19g3kcT4bUcddmrByHi4b2liPDoQK2sKQ
IEEkEQwtA+VZlzcHeadeW+Ndzd4VMFheNsID+/lZ1gB2xwsfvXv8/xWOLUkWU80glJQfhyPnwep2
0IaSjjVteBgyOkdFzwT8nMiYzz2gj21TaRzUXDwLQ2OW8ZrP7pc7ohDMBXQD/+WTrqJaZIZ2t8eA
/QMluHNo9PYmzmVYqHV+dWZCFIqcQC/X2wyrUCZ2OzDtZpqfHK0AucgY2SOTIKC3vj/qEVztDc3q
lRBBmxhul9R4rg1dvXPK8qrUyEOHUHrZA9bPCyzqHzMiBjlL8tRaqhmo1iXfK+ZLp+VROf/Vpslt
mQ5BU8qopTd20eDijToq+CCwFCstWW66aINUC+bZK/Cop9qrF9sPaWvi7TTU+0mlu8sr3PDxM4NC
CmUWnIhi8JbAtIYPdSJBgt5Am39MPUa3WBkM1nzQ9ZfLRmWrFDIqvbfMKU5KKJAVfWAO7/b4nAEp
SluIWqmaZIUbMQnJlAu4qw0qgtUzv0PDNslz0FENhvqsKvatM7Edeui/TCuW5b5btgDhwDAFyoK8
FXl+lFPUIxGsCHZzn+Px/tN7+xTF3jGIlgb6R/Oqhvkui2RdH5lZ/u8nCZXejA76zC0Yt8z5Wh1y
XwUysKf13lpkQ2GbptA9Q0EIEnqYwz43ZZgcvjUsS1DkZgDNZX+IqV90je/lg+TwbXkJYMQmEL2A
ioBN59xUT3uVLHOzBCBeAdxlDEwHk+xtpFrXVZ6Gl11yIwijJYjICHJAFHNVwZgzViwpdRhTlbSM
aFHM4dLIBnQN/leEGwUdKiRicA+kEiKciZhlrjBQqkJRDRU1FqYBg5QU5BEMcDnE++kIjEfIic5p
6F1p15gJNW6Sq/KavpHn5b0JlGMy/IuxO+6W65+FyisK5ujVifKZU2yUAwQA8BG7xv3QGjb6AKTX
34eEul/fZ4ACMFpjofaKSrKwzwod0wSy6uCvxLBrhXqlfbz8ITccFOV4NLcwl4KETWyAFu7EoVaY
tqhZVHc/UIH1ifItYR+XzWz4y5kZIW62aPmqmQEIXJ4W7yCF/umppYwJd9MGSrtQSoJvotp0fgCm
HjCm1MKtXSf6U1FbO/BhvF9exkarX0O5B5VIPMZQExcLksVCh4426Mg0OnZqglQMCo+4f8aEFAHS
r78wcZ18GzWAOZShKIIOmtm7NnferDq3JL6x+elQHcXEBVTCgBA9X28Tl8NAPcCqWnQo3SK5Kei1
5XmHWZPd6xsOj1X/Y0mI06zKPHDIw9KoW1HqGiGdnL/oMEkWtGkGsA1UgJBJAul0vqBuKmwt75Gl
1F46Ho06XyIULJL7aqySLwNA8R2RO6oAqWD6RwyWUFzDkHqKFbExtWwfAmXOHvmrFWVM1/a9mxm+
2w/T78vus7VABDPg0/iMFji3zxeogG6rSydYTVS1CeYKw+uOPTw0mVdHly1tVGFQkOSgIgfVA6Tl
3HlO7rgYsjZsqLCXZdtMGWDdSfmkgHoI/P+sdh/jrO/RnipsvzGS/nVumxYCzczB+Ic6x7MluZs2
EsOzXyMczWGawK5JAFrRDMfYeWms+0tVmD7JTSO0qbockkptbtEHSGUlhk3TnLIGuEB+YIUIOnZQ
pmYqGsNzTxfU1qzeBo4knpLvWjyzdz316j9ek3YPVjNkVLLujTsZZWH8H8TUuLyfcEQr2ygS3UaT
2GgtOypqA3rYsW2ku37MMsz7sEnDP+m6JN0XwxRKGAgJLsA64OwFW5kYpnKvbAfWqLgzF9c79LWq
hppTv9jFUGih2afWU2x0GMNJdG/CL1rs/KHrrOyxVKmtRCmxrKfL/sgXenJl8h8EzgtgbJAsAOMm
JupekcZMY7jESZX3L0U20RAorVmSUArbvbIi3DIAvA0JlIjQfFO0jyF132sl/lG502PFB4PZIhuk
2l4VZn9ATIokT5wAwMSZ2aPnZgXgXw7GAWRsUiqK9ZIwbsnZg7nwAOY6hUoEvko9Wk7mBpY/hc6T
8g2MVd+TK9wsu/ouvaMhV9esb2WT4sLdgp2EWZtfdYiNANcIBzaujR65B2nQ8T1oiQ7x55ekaAJq
NpK6v9hW5JaAbUYgxnADSlTirZ3qvWEAPGtDNxTPeeCbH/qXNAKDHfSBe7wZ3/9FBVdfeeO5TcFP
2i4DYW3p8eORLklQZ+O4Wxrlo0owgjyo4ImwRvKozkBBYBoVe911WZBNyfsI8bmHyydjY6fP1i/c
CYM2sgoQHDsg+dVslnugyoN2QiPAluUuEktiyWHusP0OtwQFPxCHBsuz9ysH99OvbF8dh7vS8rWX
RPsXziRce+In/kzzT+4ilmTZZBYwbMc0rEz7R5yrQbnk3y/vpMwM/+onZhyd2rPh5eDrLdOwzOk1
y+O7wWOSmC4qua2WIxxJUIWlTW9gOZx1g1xN9zo45biUtmX5PViJOVSxuTUfh1tbUpYUCZs+TQOr
yHUyEUahTnS+RDezMujMF42/eH53Q+74czn7neyhuAaOqPQwPagHWVNsHeT46LANqTaU9TCRI4aC
Lmlnog2Nr+Ee6yCHMJDHyx9uI8adWRCO4xRrxaR3pRuw+b5HGdSiyE0A78bwsJ81su8nsgHwTUQR
jBeogXZC4BYyAnv21G6eZzeAbFaJ187/kHZlzXHbSvcXsYr78kqCnEUjyVosK35hyYrNfd/5678D
5SbmYPANYif35VZUlZ4GGw2g+/Q5fvbouJQU8TDejMfkub5LPlHd7v5lOPwLfRfONqQwP5SsDByK
mEE5/4Zd3qigUlGQ0Z8wagcajuoWqI1n62H2ey/2rQORDqKKB+8bAj+ByRdcC3ASM98wBcJQmXR8
w26V3CpG30hUGOPtCrj10wTjVm8ZUD2D1JDXBpRnUfbBDXgA4RQp9+mL7YZ76aH0y11zoz1fj56P
W/P53QKQiY1lJoMOZRlpU4EF7aG7rt/qD/oj1efVfTRxoq+OD8AyoAcge/SGp4T8xkm5tc6yyYyG
EhVhCut6EblN9TwUT876uQpFfVVOdqO3OZC20IlWsFKdh42qTUM7akPt9tk8+jHIgx+cog39JYtE
cmFsh/Njh2xssXOaTVG2MvTqsKKBufuLXnbcm2hTWTv9VO9+UUTuf+Y0tAxwMwTpA43eTeLOwfET
NSEeQwb6RiV6U6WCDnykedcDhbvxUMsAagqMCLiUn5vRekcBRaZue2U2BmtzD/Xw/dDvFdyArxvi
fSp0NenACCXkYC9PZg9GhzZFPovkmkyN6lfSjS37143wvMHTDkwcALJhDJlZNCMDYZNSKJZXOvdF
/mKCd8pp35pedOTQbMjuLqoThkQF7I76wea3+TiLARtKhNQxBtBFsN3kGJ6WAI8ZFUxFojYlxynK
sg6ZLRRM0axgjlYNfao5sbvaTRY52lW6/r2fNGwrdXo1J9UKri/h5XdCJICogmKuMPTETrSi85IY
bQ3NS7tIIZ/y2lkG0adfrGoguqkVtJXhD17ibO+tV6C13jZWCDhjDAaY6s2cgNbMx/frzlymeJjB
HDIwAujxAgV8Ht1GBQSvJtmhp+qY2KrlGRSD+i8Kwvzly8YIk+SrUXPA5QBfaDeimwE3lFZw04+u
PbcikU2RQ0zCs7MUWOcEDlWp9qSEFpktUaK7DDesGcoCwMLTfcpKFEWhmkA9p2xctZf7N4xTD/tx
6VCZ76d8LnGPDKdccHvkerUxyVxS66jv7TJzsIKWRQzodJnlL2cf6hTG9ygzAZ1bOA+E0SkzGYTD
oZcVCO0hy8AnLY9AVtg/rkccf/V+GmI2qzn1pTzlOraPpsleU6qYXtPMwmtl4JKHUbEES8ezh3Ne
cUwZ0AnHZILPklHcXWQEn130n2oNowuO2huerfhVG3a/sYp0GA/VG0AIgbU+X8Wh7XJ5MEDTvzp9
5enhQujLIgR2Q2CIFxCU7shE5QvMOTr1epNf8S+dVA6l0Iut7JDoclAnyuv1DyUywfgCYSynlB2Y
SGfpvtECY4kf/5sF5tOoiyNlCgb3vbTSZLfKwHFV14f/ZoPJB+0yOk2xRpLXt6lvmcNdZtUinhrB
SrGXOTmBtigYUCSvoePCYaQ92J1o3Jobxj8/OFuQTCMM8VrUD6MAxx+QLM0gPfS2X2SCGrfIGSYR
KLguJmoDQ1M1PBup2bg4n0SDnnwjKDGiCQgenAtsb91HSWimkmf2reYqSXJI6+EX+f0+jh1M6P1j
hP6IzR5BPbIo7BRGgHZ/NZWIAIn+1oAy63ci7KcZel/YmFH7SNHqYm7c0FBfUnQf+nwUBDHvygFm
BmQwDG3gOcZ4UhaRY1a5DCL+uSLV+tmxm71mjsF1R3hWULRDnwoXKToecu5IuXZjDjYrCR0pIPOj
1e0wTKzqogE8zjsB2finHbaipPSd2XUK8ME9mSt3mMFuachu3buqQjAtQin+C9V3RLNebHPjIx6g
7YmOJQUMg2/43D9zkio5HvCh0DDqbXeSjGV1lRI9WFc14vFbPdgZiEqb1q5dvVwTN5yXdld0EpDv
Wm62tuBk+kAGnl+SgWDAeBNIIMwPPqDzH+Tg9gVQkiR58nHxwXB51A/0jizfiFrinMr+uSXG9RnY
ln6Yowi14Dpx6ZBqsTNP06tz7H+DIpuu9JljTCSBWXNVaxmORW/qj+Wtg4ajSaoTXtPWMfL0vURE
M5eX6RFzU3gKAndFy5Fszz+BbAQaZxn6+gXUIpVvsfOeqJ2brm/X98hl4traAZzs/JO18bBEiawl
gJDV/qgv907r/PK5e26CKTQ1zmKtfaEnSFdxMCXN12g0vvyGF6AnoJNgFjA7zNHetekwjJ2M1crL
nTaG9xaGwq+b4BQdAUs3QJOIjiIo6ljORyhAZoMpTwlJfpjQ2LH2y/ccNNFdYLpO7BWfzD2qViLm
Pc7nOTPKXC4nOykxYwOjobmQ3noeCxHtHqfzcO4Xk4vtzum72YIJyFqiMfWxmSL3sXc7yJWQ3hMD
j+huOU8TsGjTAgSlXpDZQngftSbKt0ZC5GOyB3/TvjgMhyzoBD0V3trhCYhwUGAMg97noY1a7mz1
qlSSRatSX1KbgZidKTgsaWSxvkDCAhU9VGwo4eO5kcSuxiqzbewf8102bzNQECQRGFX1t6kV+HN5
nKEggOFAHX1zemgysZC2kDhGMyYhDWbc8hTUdDbwU7vrYc77NiCMwOQMpjDoHOy5Pygi5pWD2RZC
VRc6TJ1oOygbCWXduN9mY4bZsFKBz6V1MNP0a/GCARvzqOiO6GTmWzExSQNcDwSimJsMOv7G3DVW
QlYMfLvpCJ7pMflxfcE4dVd8FrCV/G2EWbEOqLlpGuGKfHReIUVnxER7BYICzcly8cYfIS4AmJcH
X13zVHvho3G4/gPof/8iAgH1oZ8MI4Ls5IzVZfiQ9IvJq04wh+UO8pMl72zllx83lNUHfgI7jR4l
23SZdbvJ7NpE6djcpVUC3YHfMEB7OpAuBlwDpQgm9ArwMuYmHEmHyS0bv5EWwQWF3gqYpTI2FtjJ
BknLgL4aYKFaUcLTZpVEZby3FoOUmfZS66arDh25/nkuYxCXQ4oGBs8AFZ9gTr+l14YEDNW4rBvm
p0SXbuPKv26B03M4N6GeL9zq1GsdNklEtPK+xLnk6954b3yxD/o91LTaO+c2vrOhlnzSY18sqnmZ
ls6tM2nJkDo0kdOlcQfI7xKAyQ2vWHTLjdpM9DLh37Q3i0kXe/M0ASujOa4LFnO0Ds2P4QWi59Ar
STyte5yISmJflA55F82zz8ekkAW1CmOgnw9c9HcNOo3zjfn8Xh0qkn+NBS/Vy7MEt0zwm0KNEWrJ
IKA6904vszIFchr4CeW5ieTqJoZADOnwj6tnRneM4mIRpHtOdMIkGLvAUQ/6EHaKoAYJQTu1eEIs
IbAxzQosUmb9Rm3nzAgTn5AnbSXQ1DVu0a1vUEPznUIVzbmySmt/XdEVsC5rVAwJQIrzxcuamCKf
QjzzQW4Okr+URA/9U/0UQeHtdKpGV/NSt9ddMPPtK4Lbxl6wCzn7AJjjnz+AOQeWbLJbq8QbYTo6
T+lzBDkhNFMdX9mlb/1LfQf9rJ2o6yayyRyjKHEPq9TDacN4VMDPrGnPQyrcdZdpE3G58Yz+fbPr
lKJt1aylVgC+aZ/X0A1fiqNq+9A+727b/QIdHbPeZz0qa754D/KdxN0KyDG8stnBv1FOrc7KED6a
AdxzJBlY1yI+SZIt2H+XmwHvPGjYU2yWRgsG5346dSjbaL0kGDySvW54Xsw/r8eIyACTKvu5TDOn
wvljdKXiS2AvIHPWrMF/s0J/xeZzNW0MnNnHKed8icznCiiT6wZ4V56zhWL2WoVnWNyo8GM6drnb
NV7RuTmwOniGx+SdTta606mIfeVHa7rmXsz+xXu0GGjzANmHRwS4MhgfdQwToNaAX9ASgBdGEjYe
JImITUBRB2a1N4wPioWyLgMR8YEGCYDilJiVhYBMLVRqlTqpSefbMR1bXKHYRUFaeeGbUK/qHwvS
rcJuIDdqNmaZ7dfmmTWDUxNPDAtiLVB5C0vBFZJzrkKqCg9NzO8DD3LBOpLk2BBgHKPLqQT223QL
XeCQUPTZAmVTN5+9X4fTgHEPtUwkFgc8kSw0E6R46Gw4eMwYi0Sa6lFTIv96lF5mrXMLTD4Gdhp3
ZswmkaH7vPR3c5956wwSdAP9i7r0RiEn62WLGAZBReKgZwuByI+R182+Q8e+7zDpUuHpZB6LPR1h
H4L0UXUpmuW6b5xrCYQhNLw7gIJCC5/lVyn6vDMazMvjWiJ7KwqO5dN8A1KJXRNAiUJ0C+JFIG03
USEKtGbYAaVVS50Sz9KK9Ob0jEV9zcNfb9fBoY0J5muZpdPP4LbMCc7RXY/vVAOsizkeQeribGEQ
oICOCCoDaNizb2ijsqvK6fSMxEuggUQzDDVILP0izRfuImgHglkJU6AqEKTsI7qapm6BqADKvsns
1sN3dflx/ftz3dgYYM79uWmtukjKhox1ewT97jFuT1Is4KvlJVk8J9H8A8sq7jVsAaUDy1gIHsma
GPcj6Q9OkAbSo/kJAqSvGsB9APpKf173ixNowKiDspzOmwIuzjyW1KZuFXmNa5LE6X0V5r40OPvr
Jnh1PJQIAUFAHQX9UxatLOWD5ORxXSGL99JR9ZxA2ZufzHvbXU7xCuXoAgQXoiEV3gfDq1b7KOdi
yoj+fZMbUDuWZ7zfUyKjFr9atyCRdBfjTeAavT8w71tcflGKoggVwKTp8m6sRNYQOw7ELMFMlIBw
Ivyo5YWkd2PzJt73t7lnPQtMch3bmGQcSxwbIz0ZTOaVqwQaoWAzg9jPo5cmXgsdL1SSQq/7JsKB
8Y4sC4kW8EG090FLy1QLRshrQecnbkhPINue7PMgJGFQnGSwlOCqfxTlQJqA2LXd2GNrB6rRjqlk
RAWxMERRVxPetyC9M3V3mUQTXNyNh0lJiGDbmABC0Jx/x25V9SZL9JSMQfeinCh3CJXhrQ7dgS5p
hNG/65+Rt++AN0I1Fo12HCo0sDaBM6+TZSOhFGRd41NRdf7Yi4Yx6Pe4WD8M2FGNIUwx6szWnjHY
B2Af1u+vwqLkD4G0K4TkFdztDakQHIoYRKAYoHNXlFId22TUwFj6eQ0WfzzU9yiXGl5HrBx0GXRs
sg160YQLNxy3ZpkV7I0K/NoazE5e/DyH7rDDLzhEO+e2vosNd9nHgpc731FsdMyfwtcL2NaAiVMd
DKk1FjTah/MBfLv7MBiPmI/GmC3CxFa8QfFET07ed6SXRZDnoOiJadTz9dUlI237FVrpmt4fNHv2
5Sn1yr70a7siUTtCZrXPj+X6ej1COb1FUDOCrhUKIFDu09gOe6NNc9euc07yA5UvV/a0t6j44o3O
3X2whQK4hWls7MFzD2NcdOQxxafsg/G1PwG3+BAB1j57mg1iEsqlI8Il85IoaPJQn4Bz1sUYXjIC
JTRBsICEZYlZ9lM/HEJVQOYgssHsi0RSAboC3wEx0+ME+rpKh/paJupX8a2AuRCx8cH7eL522ZLk
eRb1yMrmkrpGb/5pxpYPismUXI8HlWfJwUwuqvr4VBfhn4E8O5XtqcCGs3cm5Ot/DEd7p79ZmPhG
3QWY1tvwD8dLDtZx3qGHqhv+miF91jiRRHhNXvrc/hbm8gqOw8TRY0TMOva+seR7bbS+XPeXU+RF
URwXVty+6SgdC3QNiwzY5+QjwajHaF9KpFe8em88GuAJmCCf7EGPt0eNqbsxIJwlOOd5p9/WOv0a
mwMiGVNDHiU1JXraeooBsdpRB5ziay0sFnIKeXDUxDlE21wUj3puKqtraUJiq4k9u/lhJRgJul0h
iK1+okLAq2cdMZQgB92hCKYvqSe6qX0cEOxBtbXPbP9lmm0kGgidqTtk8lPsQZV7Xx+GO8y2HHpX
up19rXVXVNKH+9rLd5Vw1IQT2iBbNgADx92bsvedr0Bpasi7U9hiaPU2dE5S+pQ2oqsi3e6MlxQU
iYYECiiUPfPcxlrnYT+GwBfoOy0oyXqjNTsL7309UPeqthedGpz4OTPHxA9m1c3JUPOUqKPlOY1C
tC73nO5r0/4h2CdcSwAvgSAMWiwo05w7ZudyWTo0l6YHwEpJ5GtB7ClfTM3Vn0wX3GQBhsvALfTt
ul1OCrApDB1vFmi+QqPq3Gw/6GMKjXXMIZWfxrz21U7UzOSdSzCBJIB/gLBhcdpmgclhmd4KDSjF
oxAa31Z3w27cZ6e8C+TwKO1yPwpEBGi8UgMYs0DUBeYCEK+xQzN1X2SDo0YNCcd0p2D6MU26E6bf
/Ub7PqCgHsnzrVpLvlZpuyms3LFbyPW15e0H3IZR1P9QmWKxMGs4GWZZ5Q0pnCdMxIcDELYirBhn
dcEdQN9nuNhg6N5mLnB2E2c62NUh6UxLYCCWi9wZvK4gJNN21lEFrR4pd8JJNgqvOd+GsIrKBwiD
UHHG3fs8bKTKBNS/x/NJ3YW7Oih20cHZUcI+UXviMj7PDTHuyVExGdKEDaiY/avSFQQ4+Zfrn4kT
KdSGA20nHIZowzDOJJm+jhimTYnTe8CdEZBX+u2XFADl3byrd6IXGdcliDFQLm3EJRuYuhkaWjfQ
m2gFzlYQytSNgP2Tg7CDRxsTzFlQRgoA1gVMhLfQaN9Lj5Xkzp4Biexy1/aCMOeuH1YNOQvPJAuX
6/Ng6DNZaqoR34jOAJumWzxku9ZfsPHc/lZcRL/cVmjko5KNGjo66wi/c3O16kB7plZzUkNlW64L
H4CSdyyqCOt/mZHP7dC/b+4OarFC7MUq0HTTa1DyOPNb5DTe0itWkOlTcD0IL58nMGaD/webCdVl
dg3rNIbSjrbQV1F/+Is1leqzi2KPpnNm3yIHQ/MOUGEHA4xMqGf1CJ2RYQDRpSW7bWv7uvPamkew
mO4ls9xd94n3ocBugmrVB7iSVVXK7KRwosGA9Oqy79rIlaaT3YgowXlG6PgPrlyUaojVVcqXOu+d
HOdm12ZEHybfDEO37xQBJwNLcIvaKB46OuZoDQ3kcngTn0dD0lcqlLtRtwm/Yrwt2evetIBnNn7u
ATeSPAsPdV+9L6Jddlj91MVtXT1lQehfX1LO6/n8Z9DksglKyZkUzIfgZ9Ce5vSikOzruO/d0ZuI
tNP8HHxb1ReBTeoaEzQYscEgBRCEqICwWDF5dIYKCmYpqSA38Zjs6/s0SG4hgwf6y0/pv2gPc3Ye
VJVxakOWDWV7Vv/TyMG8GS0oqpsmpgoRMmXzrWhGN59+uXOKwhGyMCbwHNTj2GJcbw5Soy9oRyQO
VhQ311ITDeDRHcUu3sYEW38zRiMyLKnF7ee+fsa08O6jO5WgpPNv2G05Z8vWoY+DYRMeMwRvQQoC
h9Y69kdpjF1nEc17864cMIIqAy4WGLtirxxlWECGpABoRrnvXnS8M+InC3CBFZQPwNAEERHVjDjJ
8cwgE/RF2BhFj3kRgkmVfdKe1OEOejSnGeAgydHx4QzPqSNB2NNT6/LD/fSSOWZUXB4hrYKlDPs3
Y3gawfOpS/eptVOzz10mYmTjPB9pKP40x5w2ha5G2RT9rzMGCCOKEHj7Q7/IPmEOcPYBw0ABNXtW
SesV93bk2l8TEQcdJ3owkwpeuA8Ke9R1zpNLbzZKbRhgmxsm7bDq0Rs6nXtBMuHsBwDA0W4EQSGY
H9nTO57iJrQkBxQPELR8oyWP6rvyaLqKN3foOIoOPJ5LHyppVCEFHQam7CeDs14PLTTc47Tw8gns
BCJCAt71x9mY+CAs2Ow5KIflEACCiZ4MOU6GdW8S7SF5NrzUD71GsIAChz7iaGPNxHCytISwNjfZ
TWoN/uKIREMuPQIumKKcqTgFALtsk1uF/G6MakJCltgbid54xj4FXKD2LTD15aBuFh5rtIp+ttk+
LAKLjPsw7W0xVXa5xPVy6eQEnYPpZcBQBIY4QT+ruqkvelHwvUOz21bhI8oIzEkuoYCQRWuFinp7
KJ8VQmcw1OdlCYwjZakWRSBLGW2hPUGZFv+xx2Sv2iz6yVBgL3mpXjBkc1cGAPzfKYWbHAbQjcy7
8Wt9K4qTD1THxZJioAV2UVPAlPn5Zo6kcKrKnCIVcFPIwJ/wAn3coNAhseQqj7q7Lq6JqkI5u+mt
qLB4cYDDZcAyqMIJZrPRNzm3DWkTvKhi2IakrZdEP+pxcY0Q4hijYDd87F/WS1AOYIHBlAb4IWNp
rdJKgdjMX4CC2/V9DVRfcedv9JRNbmlaMV7K4+L+EFWGLu6d1MWPlEKnwdD1PXcxrZXOKkGtR1R9
3GP63tNTY+eEwuzCs0NpnIAho8o3bGu5SZsY2qQpovW1PCjEukHLkFD2eNS8wKuJfol4jv8ix8A3
XQGWU9FQudAdZofMch3VgwrfQJpNWuuhCXXv+jHA9WpjgQlOJ0+MDKhDHK6TrLqhPN3bUr5voG8i
MHT5FP7wBVUKXNvBLsnSLK5QGFjtvsb6HdZT5sf3yU76CpbVID6Gq/s7Xv20xZyf0IsyxsXGunVO
9VlKdagsOp9UgFAETvFX76cd5q4wrkrX5QN8Wuo/FedrUteuDf6n685cPjXoygGdD7wGqL3A1n0e
4UWaNWZB6fZaQjtXnVc0bvRdu+tdUyENytioIUMcS4S65Tr30yzLXqJmYy5hNDIhmfq8lo1n2V80
SbR7eQmKUoDiWMF8Bcqu5751CgA1Y0jPAG3y1vBzmCWu1WtB33y/voo0DbD5aWOInbFsNYizqSEC
vQ5xr0KlchcvgNhGtMlp5A+aXT9eN8jbu3Q8GQgD7F4wrZ97ZphDCYoCeNYtX/XyMZGfrv/3LzvG
CIutAXpv3lxA7DbDQA/ghKREzZQAw7Vbe4DutJ0J8S+3uI9+vU1FLaI2DQoOQFGAUDu3qC99M+gz
rjxVCyBh5hewfN2piwcGY0E9t1AaKioGBkb9RlXJIRJqV337aGhpqcDm4lj+UoWl/riM8Sgh/FGH
0HdlLMdZcP13cMNy46l2/jv0Rp07iLHjttq9xlZ8VJYkAA+022oicDRvl23XlEnAa7oqoT7DkqzM
SpCN0WOugMZUrftffWIzS0t/yCZcFHMe18lBPKKz4Ob5a+cIiPFEnjDJUEo1qcsgRk7S3AsLlRTG
S2iKMjs/6jdfhtlWWhYnehe1OBKfJr+7o0dwBgEXDEgBuOOKxX64t9TtB2K2mWnHA8iBcYUCOv6d
6rVFR3SmexfvTwIEm+iWyl9FG/dFVEMg/crssVhr20mZsIqVXgEaZLvK8K1Tv10Pb+6RAnmWf6ww
+wy0SrhwtApmsZ7sBy0o/KFxx73ujr7mjbvmmT5yRZ7xPx1Kqg4Iden0JrOSI5SPu6bCSq7vI5Fe
S3y6ZNf+oFdvm86+kutOchMwnk5gaoOxC9DpFFd5qUAuk0iJ7ubZbSJ/uW7g/3HopwUm4jWjzyZz
hoWWDD/qw/IVLNbgaQPQI3dllESECfgSxEI38cYnJvpHS++0cERxQj6i6wptEGUnod2D73i47hs3
EW8MMd9qHdLFXGK4Jh/RuTpSERJMoAjHOC9LWIxDzPmvGL0x5CbSH3SgFN2vD4U/75VHo3On99x0
5RMFAFaC8BdEBnuzqcpaybUQz+p5eNL62F0nkaotdxf/XD52LCqNuhzMW9hfbYyjMtWTe1zub5w2
EkBsuefUxg6zj5dO6VFZwYkMhx609WbpHDfXiuNgtoKrrsgScyJamZzJfQcYjp3avtnor1CCJ2Nj
kc4qBHPKos9D/745qVJgojHxiNjr1tVtm3ezEfQQuAZwm8a1murksWjFvsljfamRiPRleYla43bu
E1HthhsBGxuME4WZr51KzylNi91pfqinz+v6W37gegmKEmDa2AZm1q/GGGFwk6TWNyv5I6lF1zHu
ow1Du/9YYNJANfYNaMOwUsZ99lhgVDK/AdU5BlUkIQEkP7dtbDGpQAolyLRn9P5wSPZ09M0EQA9w
EiH5B+/T4LVBKV3A1APxifP4cvTWjI3JTkmTHtf+UNSlm80/rudPbmLbGmHOhiRe076x0+oDDtBh
lC+66YC1mL3RxwwjkYiIrUDkFXM0pDW44aUMn6pQdKJW38yl9NGUE6QB3tYBXwzKLNg7gPUzZZ66
BLW91uCC3jU3RYS60ur4v7FyQGaDew29RAyMMzcgqVumZpFxxllPM1FA/IibibajUnXVSQ9ar9zN
gizKdWpjkcmimMtykkaGU8bS+1NUeVUrCW7f3LvC1ismf6ampZcOHbihVUDKdKx9KTx6i9SDyIuP
uqDdxYuGrTkm/cRDk052hcd7b40kkvXvq15/qc1FYIZ3KmzNMFspTHW8KDR4pTV7Jbwpy/s0Tv1c
EZ2nKo1e9vm+NcRspwqaaEVV5xUZ36M37Z1q2CR+eEDTi1ZSMwxKWf56Y/n2ffQJfBNoYIR3AME8
qV8cIpqXF/0WZqdJhhEtqjoBqt30eAc7+Sp7cmjZT7YObVfwRI0Php7ns2Bj8Neayr6jAgnhCyaC
VGtJLLMcYbYd86AfMvmAqm5sunNc/xmBa1YEm+JuC2Ag0FOhlHpsyaTI0zUZkgVTBKW9X6YlIktR
iiYHuIVjwBT/scJs99JWeqBdEUKd3x5WsCp8kfzCBx8mlcR2dhWBAHz7Od/1HkAZkVDEilueR3sb
pJ/ogoFggcloHfiTwgZUe3jfjUQL5pPuZb6k+GN+S2u7C0EKj49gMCx3kajPx92lG9uM7+lk9ksy
wrbiHNeqIpAKy2KHCBIqPaQv9s7GCpPe5LUYojhCF7881aeZgGEGwBmc5bWvHfPHfhffKR4lWwcZ
lsC0yD8mZHN1KlTo2KHLMsi3Ya+c1Kp7rUEPK/CQH6k/vyH9++bGaDp9WQ9Zn4PsavELbfSKfgiG
atxbDmgXMODb5aGrRbisrkCVdcYuHwzINH21skjwbuLmhs1aMwmxtyNd6VR80bAxD9ACv6uG9WFI
gEHWseSx/lngOV3Ba9+WyYuRHkEaSYbngHwBy+Cve0oYMHs1aLrNG5yhoqUWfVIm+aEU7YRJCwfp
OTYe1Ays4F72vf7S+mqg3CrfZUyLVZ7yy4MBeChutylzE02SkjKaARuYSGjKA1+ZGSYYWASfj5tj
N5+PuYMqWZjJRYfllJcIDd3ZHWedVKXjzk7s/rdPx6ZXzMQqSbbCozHIoJV7oiIEDg6ysSB0OvJf
VA/oRr8SLGxz104yy6wmJPQOoGbTS4Ni9EeqluvXO+OPTkQ0y92VGEkBjAEqKBjkO9+V0bjqY6bA
wXpYvEEDJ08bihZRZIOJ/2GoEmVucHqoO8j0oeVI4/9heR/91m2C8ljeimZtRBaZDdDPGubRTeS0
rApdcJ8hr4joU7lRuFk4JtZ7KdPLhc5Egi8Op3vsr9WL3Mpunohkhrm7eWOJiXd7bPVmove3VgfD
VAmWGgdDx1G6vx7rgjVjCy5ZGA91UcChxsLABai6TBF1pMgCc5KOpgUB49ys0Yn7YQ2fdU2UaEUG
mEMUYhNzlBYSipf31Uv3Zu1x/SSjpwB7+I4pMt8hpv/fFo05PFszyywJCvBkkD5VI9ZNF3UWBXHG
kmAsi9yZYYVFszLQjtons/1mZh2Z5u/XPRHZoVG4OZ5HnMa1OXc4M5bhpNSQTm6m2I0K5bkK106Q
EkQfiskIszSH2Zxhfzbmc52FbqKJSmF8C6YMNmtKPstOiJRKr4AGGB9GbzR3giUtfLm+YHRBLhI1
Je8ETxq0JNm+vxWOpWHTo2E13us0qCB1V6vBdRvcHgDVl/7bCHVz81WsweziCUNwH2jx6dEKJn8l
067x2m8dWUiL+vxT/FlglL92P40yoZBInZ33OtYs/Dz5CskD0Gn3rq24UuZSkEgVSIel3l23yr2U
bTxlQkItestswZ1DbHUh0ni32J1X1YbbqjJpm8f/Zow5H5phmhSJztCbGaiiNJBiauYnXAoxmyk9
FEb0H0OFOSuGBgSsklSBrQoqnU1l/QERFwscgrVglOFyXpJewDaLyBwVljUps15iEQ1Xezc/27ct
umB/xQwATbSiUe3GGxlMwa7+Hr906F61oFTLiEOE931q6//fHxjfPA/dVWpHWxvpb+l386t5HEAb
5HjVKYxRI7IAI4OS03Ay98tec0WQqut7E3N257YXTGqpclcDhI3k4tjvWp3snezb9SDidh1/rjbE
PM6tlKiLFYaDfdL5CubPGpQO5clNPDqyLO9Boy+wx9uXoH3QqdQlZsPY4oKyRnY49iC7SQ+QPe3v
K6/wRuzI9K54bjGznAsnILgPbwxlwSLkeMBTwESulITOKK3oXYyB876S+HV+TnwJ4MYkdMvcpXaT
QPkzPoqog7iZDxgGoNqBqcL0FJOEItvsi5G2dLOX5G4mVrCA1g1aVWgTvuV3410RSH8UX66vMC9s
qEYfkK9gKLlQXbCHNJ/jBGzlRXhXTQ+5dlR/pwKMyWnMLToKmK3YyMwx+NqY6YJiHGy5OZoGwTCo
kg/ZcyGai8YfuwO3tpj4HGZM7isq5Sp6mHzrg6wUXEV3tIzwLx4uNEFfWgN2Ev9D89hkck+sLK3U
jPhglBlJfSt8CLL2N45HSbMwDQS5rwgjjcfhN66t4Af526zFpJkBfAydFsFs1ID5BIoMvy6UgKSK
WwRlLKVEAewnK7o46stZBvHBDMasYe1b15nyw/XQu4S0wwoYToAngPilDSqu82RSrym0lP4qsU2+
EbRPWuVKYJiobiEF4GNYYFcdIvT9i0+pv7jpZ9FNlhf7UDjHpD2YQQA6YFKmWSbLYNGb7LjOrjNO
3+0xux/HWVQj4G5ssHhTBW509myWNykCxCtKFRj6mOlHhbhfSd67uTsQ0PIQjLcnT7k3inp9vOS5
Ncsc+VqbY2SHsp8NerUzpvVGn5JnwTfkbbitDSZbhkbcj9OIAjgI6156zBKGu+lIgcQpKcEiDjCU
i7xJS3m9lz/YN+JdyP2KEJ/F3BVIFPEZz6MoDCerzRuUvSFDSXQ0TNfZ3EUiWQ/uWiKFQWFPAS78
Qn+pBS2VVFpAbYwpUClvVq4ILr4iC8xKRuZcqI1Or++W4ZYrwHMiMheVl6/wMgDekHIpYZz1fKnG
rk30yMbpXZ76Q/gy3TbfQX7ph/egJHM1sK1Vn4tby3ceFkQlcnUlQxasPUyNLwYwcd39+VvYtzeE
O9ukpq8Ve3Ju26ry7Lr5fD04Be6yaIdi0WYpg+4xgSKHp8V/LHUBYQ6wv4+Td90SF8O/WVmHOXc6
rV3CrMTKOgqUOyOQpe8VN/mKAdfCBbeLUaO/qvnLPjJ2g6gsw90A9FIGcljoP2rMV21teS4UCbZX
67MR/4GzFkItglYk3wYA0pRlDhuA2WSxQdlYNdhQGtIZkzssT7b6JlhEbi7Bq/JvI/R7bl5+hV7q
Slng5Td5CyX/c9cbGwRRS/BRCBScPnQ7sWc3ZgL+McYkx2mKOnvQkLiMKFm8JQ9Tt6jTo9Mq+D/y
vDe16gV8BQIMySXdCT3zNmaZXR6n+jArCZoetE5NfaTsG+kTZi6Snf5EcW6yK39TJLfxRZd36tGF
x4CdYYgGHxHwsPPllUsKJ7HwAgSywpWbt345jFpgJzeGKpJw4W7ujSnmZFcm/IaUFtYqLfXWug6a
WnRb5kQkeFQ+iKUxmwmiqHNvaiM0rVnC8DAKhaeqjg5dM/lypgruxxxPtmbYNpyJQfy2lUsIPabr
UTaz26JoRBuYdxECARQt0Npgb8Qo8bkvmtyHFbQWWozj2x6I5u4mP7lRUAqnxbx573i9T1th9n32
qfuUBCJNFt79BAw8ICfEHZaCJ5i9UOHhmtc9qAMpx3SP6iFYpo27GVOFravvu0PzL0DbHxB6Jhwx
QYaDyKZEBBcsjJO1LpEN4XaMxUH6PBhMMM+5c9C9rR+6suonbZd9KnHypF5B1HsQcoHdGpRHn0ZQ
B9A3mIjzj5MRtj+I/dSxOa1SM4GHxHESjGsXxXuaLh3pzGL8BBZnsBGFcqq5fRPPgqzAC7LNUnzE
xybxAclkN0qBpVgN+aWUDLdqLIEJvnO6CmIpqHqYLCarsSRKsZI2pJKdQxnP3yAeFhh1/Eeqrp3n
OMDoR7b0eD2jc/2y0KGnKozgH2HiWhmaUYfwBsh4yg6A4R/mKupWcXIamAR/WmCOjGnRB11Zxxy3
iNIF4N7t+8h1agBfxzvwn7rX/eHlnK01Zp8s4dQa84y0ttTvNm5oZZO5djQKrPAuE2dOMWdEnbZR
/KGRpO/GUyffyp5WeIg/ZW/58V2le628H6DNeRTTDIo8vMiq/0fadzVHjivN/iJG0JtXmjayIzca
7QtDoxnRgha0v/4m9N2zYkM4jd05D7uxEYrYaoCFQqEqK1NZnalz0aTSLhwQcaXW6DdNEp7fR1GN
ZbNC3EenAa/FqyTvNPCPLJj5K3fzD5qG2QGd6BbX4Bwk3zBImtMrlob+UeZ5Ypx79kH5japeja84
ZImf9zdTrEvSQbZLfGgDZxLYZUFCwoZIT5fXu1qbtQkiCSOhMg4KiL2UfScvVbEb+4udDwIjEC/o
mOM8tWMouLqUGdw+6bH/rkftXv9W+muwXP0TTn7RUUOKC1gqWE3ADcK5xuwtursMINprdQzyaJWv
GAcj6/zcvVmM6LyDCAIHxnhANY2KEf79cWFtAmKjp526rAqamWldXNsdGQ9KX8nQW2IrCIcWSDug
ZcJtn9kmtWfqcRG65TsA0VFNWokjCF4gjIQMCrTIusBTwVnw9KprHBXroOSxUcvItTr0ZX/Uabs7
v2GimHFiia11s2NKbIIxyCVVaNyS7yMOkwZxdCeaLyZ07ZcdWAH2eGpJlifcwM3yuPhuzRkuGwPL
WyqKqPub2JLZHYHPnayKC+9D5XqJ0rpFuNZ6lJM5oOtDPwyXpHgay+/nt1D2rbhDq01wB6ynBbDr
ZixNEAF8rxY7NC0JYaUIgnuyKC68g3hJWVbVYgy/oGi5mZ5SMNLHD2A1BjkGuY3l1H/Mzbg4AQgZ
GNyYADtYfTg3dDvidl3iVCFZ/OG9/OXtVvD/JahqG9cDeGEylNpiH3PmAJbVj/+HuZK9PkQvn5Mf
wXnoGpdVB30uUJTXSPOy+/6m90doDOjAlyjB2xoQ7MALvdeLYLmU4YMEEfnEOOepZqnGnWdCuZSR
yvZ792gB4NrtZdwBguvzxAznr3NcIqC46Fy7IBzK7F/l2viprFAkdiAMDiFRB3M9KpinZ31YOruZ
KRARCsCHyNjToHtgbNi25scPa8TuTJmEj3hhnya5OzNdrGScVWjOJfQtqZ+ScQmafJUkPsLTvlkX
u+42Max1+4FAXLUJR9WDnsHz2P0cSoDgy0ey/Dx/2EUZCL7U54K4I2HPnektpOjQyMruV9CoBuSu
+mlckuDNAK9iYAVp4XcJwIe1JBMX9dBOTHMHgSYA46Ul9lLdg50DoFJghff5M9Ne6p5kzRdhiP5Q
bUB7B88szvFbbygtt0KI9vR3q0HN+Q8Q3WCFBMgDg3NI9PmphcZuMZJbOQUUX1xfiTuUUvq9Mf9r
kUDAtbAAsO+ixgUGXm4dq43pQ60BUauVEr9fLuIM2ELn5bxXiK4ADc9vCGhAagljEqcOuNRFmiaZ
VoQoB/lLaYAcCS1GMMnZ5Md5S0L/AwOGDfVe0KHjv05NJRC3o1qPYQ/b8u3FL0e/v8kJiOaZvMYb
6DCG0a+Ko/WOaCxPHEUXwtY6F6faCRLylVEwkmEms8EauUz5FZf4ftyDjE3m8jJ73N2azFaO8cCp
w+xEdmPt2n0cmv58YUBkluKIybBwokCyXR53wzZGW3h9lYLvrWmVb7He6b9jC2/PdFK0UMsd75LQ
XBb72f+Uv2TBEKaiLacyzgDui+b9UDVoJHWh5d5SDzDfG8e+nZCzWDNYhXIrOu9BIl/dmuM+IUbP
aVrXaRlSRXsYuqduTq87AyCH8fd5Q6IIYmjgMMFkPQTs+Za/kRMzqaiHJM/1qrvSzsb7wq5o8L9Z
4eIxzdqe6rPDeGabywYkuhTQ9vMmRLMuqDNBsRBcT2Bm+Rjm2NwvVtYXSdtRpEFT2DwycEYRtD8w
qPDOGPmaQDasKhpTOzHI+WG/5EmszGX1UVfr7wfIjnYRWDaD8UnmfaIa3oktLnY5hd4WFcGR7mof
pQkGpEU/h8ElgvpYEgwzo2Z2K8urhF4IZmCMRIFu0+JFRyyklZnZNCQsVvQ2FH/1Bl8vVIDoZFhN
dny+HK+NJe7W9NxxXEYLzJTxbKAqGS9FRHMUfWyzlw3SCBMsY2OLO8rzOrbxsMIZFxRCSt/7oV0x
WLISUL/Q/ZZG4/6PWCzwAT+3kjvQ05IV4ADBjYBlRcNCgtXMDudPwAd25esmgnsc1LIagBack6wZ
8BleisDYhRPUNIuouPF2nl9h8D27t3ZAj16AWj7zy2dQ5w0gcfFAsdUw/uVw/V0+yUbvxd/075/z
MXq5OZDVPGrxuiZFSMdnHZJCFdNGKvbnFy0zwqWuxdjZazbjYCjVrTHe2OabMkryhq/c6shOQDT7
n339SPk2CylStfP6HDb0O7Xz65tup2MQns2NI5f0tefuoFxXrDDD3ltaFP/8I1oBiD8BKMVgPMyN
ThOKdVzVonARpuskeR+U7JvXgkz7/FYKrwLGrY74CVd1uAS9SgBWbCklUPsZ8kvwp9ErCASnMs1L
cSxDlRooLFAiQTH5dC22FdPaKWyGMiM3tRdM+/mQsQnVKL2sbqYjgSKqLJIJc4aNTS6+UC2d9S7G
8csyG6x8LthqkI4e+l6F6sEKDiAZ/EW6Si7KoOFvWFMJp6E4jG4BzMR8MB9LH9F07nx1Zx+UENpk
swwWwjzhSxDYrJQLNIbVLQCZmR0wdQywQQ8TwHtyDgWhsyDGQI8KGTV6iqcfsQPqZjIapQgNaDl4
f5Gml9znwoO9McAllT0Qg42aJiUoB9XLXHtyWht0z+F5lxcbAa0aGK5QjORB1V7a67qOgemwz533
JVv6QzkO9EItYlkTSGjJZTR17Klj8KS22ag6+kxjJiVQ+IT2b2ulXM65TCdM+FkYGbIOiQQQz3Nn
S18HJwfFOHDo67WtAqOWytqZAgsmmKNN1tlzQKjC+XU/gb6gJ1kbYq74uzlaj30ji+miswPBJSaZ
Y0ML6UveYTYJGaeSMKiAGgAZCuGFgwERi0AHZSL9Xr/oGEsJZAwQolcbCO/Ajs14uLUvYrzDAhA/
8GGssB8aaTjWt6yapETtGzA7eLHZPxITpQNUZqRvGuGS8cFAUwfhOqbIcHqeRq2Ks3FNCHCpOt5s
yY0aOLv1gNLhQblr7kGuv5P12AXZHeP3+9skl7+SFDo05YhSll7Mvovhtr67LbyXJZOURAWuDzss
gTQB5v4CfB3GeemIudYhtv7SnPPnoTQu7TqVBAxRXge66A/5DMgkgh/vdAsnqxm1WlHLcB188pod
rOcCQlbDyxg5d6wcaH2TCiEIgu2JSe7K7PBKW+MGXRMa5o9mGkDpVwu95+KC8UNlQfnahhNy84lG
EB58kr5A2GnmYj3MI6nTHZA2gVWEW/Eap61XaYAvBBbAzNMevaJwTsAT1V9VESo2MpcRHf6tQfb3
TSZEkmTBFCTUu/Bu9Mn0nGBI8XxEllngwkvllVDj0Irer6eflQcaO1n8Er0TTzaNu7nGMlnMbGCU
8QC5J8muD9KdlmCAAM/G+9zy0wtZ8iE8AJvPxJ3tZOg7Y1ihXtHGxcHo4jto4z6lREbLIzTjQUMR
+RvK0BbnDb3rpXpPoN8JeoRr1NjetXj67mJ0//wXkpnhfCDp+rlR1KIMC5KixP+qUCi4SqcRBfUW
0O1j4ACTQkCV83OqeV67S98aZRgXia8ll6oyQ6Lx2Yif0/49sSSdKPGaPq1xoSOjuLU7t25R1R/R
/qSYik2sX8B/y2KUIA89WRYXMJQqKzO7AoE/xm9v6JXxcWbtlwKgcgjMoxxoH0AyFy77P/lmn+vj
XKPtlTztdKT20Ps59gAz+mTtq0CzOslbSXSnMMpf00QrCvkU907RoFMaqwvaQPnSRNN4NWArmwXA
zOz3v1/RxtAXShivnSFAh4RwzK5K8tSB23uwJfQpksW4nFcM2ZRWpYNHV5eh+F0ZIRkeh8WDkoWs
pCmzxLmFpWYpHVT0fFAh8JcE1DNeREYAp2R8jB+Pbv7K2O4b5wkDpGqHckH6Vl6pkJwrLuyjsU8P
3V42xiBeEvph6JADWMCjF5ySJLpioTURN+TYur+pmV6BCPu6LbVff+IKn5a4gDSYjVHSEZYA/JgB
2wElUdBmff9qdL0EKCtqc5qQUHcgLGVDp4sv7MeovDSDQlmnEbPzve++5rkPyCD4glj1b40mPagS
P2t8FZNEuEqO59f6X77f5w9g2765gRvIeMWNDTBhdZUABQDfxAMvPahykjxRqNoulbu1iDJCWyWe
K1Q9qO6PeEvqk08XMF6H8a/xYozsXbO3ie+aew+wfEWSCAjvaZDvQHUEM1MouXP2m6psUmfAmci+
s2G0apdEzr3zgXbI/wE2SpDKQSrMwFgYyKKhzMQdDHO26dpMeK+XUGDr9/Rg7bVI3pwR7OqJGc5Z
495WCmeAGae+nrLmslAvcgUkBWZ2mcie0KItPDHGrr2Ns3hGDiUGIL5CZ/DXHT0WFx+I6x/tFeN6
yHayKUXBmT+xxzln3LVpnpToWowuGOfp97i66lYdiOTn86dAZodzDWsu4g6EsiRcRuKPmGOI04uc
AG09yIhy2efgwiVWhCzERlaFtygXmHtj7QbTqUG1vuhHI9YummSU3DKijjFUE0EMyNjN0CzkV+Po
K0kATEdOoAZk9ZmgGvWHH8Y79HweZG8WkQNurXGvvnTCDJ1NQKWSO0fdI0EcO5gDawPafZ+1VFKS
FuRVJ0vj0gEIt5pWyQZKNfowlJBUBam310kICSVG+DozyAQKy0yBauyWm8YsIBsOyvpMlrnJrHDJ
gKOn7ZJN+ErWcmMNgR6kgVl/gFvMR2tvGC/dh6SPDIQlYqpC+x1dZMzRQXyJr+jQykzm2sIWlkaA
FyYbpftPKCRH8stwfQJOJRVEGiPTLb+VVfFFz2r8AA8YaCaliim30yCSu/3oVUwEE3jVkJVrZz8N
u0sGRUzR+vxdFX4VyCKJ6NxtjXKRJFFHojspjDrIgkyIVTS2ZLRc9D1RJoOCEeCi4LHk4j3RARLJ
UgIwj2kDLeXVuxVq4r49y1IuwUsGE7ifhriIr3id1YBuFtJhnoLRpKL1nAFUcTEeoW+0dbI9NdKy
fUDuQlWw7K/qIpvXkC2V+4IK7VxXSxRMATdlkCt718SkokzCTmaE+2ImqjxWmiAhL5TnidZ+vjyR
SfLNZFvJRUpid5hx7PB0J9rgx9CicbQ2aOwL0ChGY/Z9VPbn7xlRRfDk23HBckiJuzioKsH3q9HP
IZA+hyBAvrTD9Kb41u7q44jGBYQcya0sf5btJxc6AWYAwbw7NWFDIcRuXqQr6Dich/MLFBoBgofN
pDNRQO56I3mpG6ULKHO/HoGiOxLoN65DKdlG0WG2MEbKBqk1D3fcaQRxljTuihYJOvqefl8NweAY
4fmFiEyglokxd0BxES45F7fHvM5iA9F5MF1gljMf0tu78yaE97RtgCUIeT9kDfmBw5mUVa0SlIer
K/ei+aDBZsU9FvfLQMZQKPoyW2Pcl0kwfN7NBoy1swK+2Py4qsdcmmOLEqmtFS4IQv53XID+Qiuc
KT0BUpBEOrASPz0MdOwtdIfzKLmdq4A4kuxe+L3QAIQeMBjhdX4mxjWT3rFi3GqjEdi2cpz0XvJS
Em/gpwVuA1NUtxFKMzRtl8rXUuQ71e+8HSRpgWgdTFYGFAsedK8/yvqbDJvUoHRuGHWbk1lBq6fB
sGSSrRI9TBzW+WWn1MFFcnp6+mou7JS92P8P3FrsJ/ATyx8mQvfe2OErbrGmuSOgNcUHnIX5QoE3
bVD67dFEq9J4kZwm4c6hdwhqAA3tgY+3y2bn9K4rqMlgrurFAG29KLuYob7bBO6AQixrslTX7fMk
o6UUeYWzscp+1cYqpWnfZxnalq7du0FiNAd9QTDqqvpVsj7R0cLXwkS5jZY9RNFPLXXx2HSmgUoB
HngksHT/L8BrgcIbwvyevsJLLDzB5DgT4QI3ZrkbC02dJrZN0Cj1RX+9xNbT3LuYvuvC88sTDTWi
rsN4P9hQPjr5p8uj5lKBnB1tZrDs1YcB0r+MqLvKA/2iviERy0mVO0ixQncbIEBQZYSdJB6LVrr9
BdwBH8p4aRMDDeKsnHYNce773PWLypTEEVFn7mSlXIwENQCxdAMwFu+huFlDEFRdZ9cDMI7NwX3Q
kAY/9T+prIsverrjlvE0psaI0Z8vHB11rzmUAT6YInAWrT/LDBp8FBPEup/dlnYAGNb5Tyo4kKhn
MaYOiH9BgphbZzPP7eT0wJIpKTk4VvtjtuZf502I9hI2EChRPPPAhc7ZoG6jtQ3JUf0YMCBtBlWY
pj5TlHCCIZxf40t2JGTodvHCPo2yv2/OvNNA53XBmQDRba778xS/ZpManV+ZzAZz1o0NDYfBgq4g
miJldsjX3O9A0HTehMDfT/aOBZyNCbUYK0914jIk4NJ1rZsmn321lni7IGqdGOGiVr5OxhiP4NDq
LStgYw5F/eiw+OxITq/oWXliiQtUaYfyIiFeyZ6VV6btlzvI2kGGwwyZk080ADJHUr1lP54r5pyY
5G5S3RkwRmMi+DcN6t/D5CdrEjSxcahU5NZWKlmi0CcAAYcODOMw46G164xRu5iMqCiW907T+VQb
wj9wiY0F7jhlhKTWMDBUmKWGNQSMxwSYV/J43oroFQRA0edC2EI3nmeuNiQdTSwEgqDaDupvfzFg
AhQWv5XRuh9CF2G+A2ZSkWygqPZxYpg/VSs03ku2g/Mu3lcQu1bywHaiAkwmbKiJ1WedbwOEaOZ8
39iBrNstGruDfXQw0FzQ8A/nMFZdKZ3lAFDZR8qtdYWrpoiawwilY3oDwvm99Tg+lcEgCcTCg/5p
ledOUQurzd0SExCLjQPRNpFWte9lu0jqjuzHfzkNGzPcDT7nJVF0B0XUGPzxqYeqA6nMC4D5L0y9
r/xEq/ZdMvlzO0hijKiJst1Wnk7FnRajVVbcNAwaxy6B5qgxIuLb8ZC6mM7BkwDKTMov5ZusEy+O
OptFcyfGTvq47RdUqN2n+c3dM1DeCmgGo4McoxgFtObalsUBoRsBYQbsC3gQbABUTs9PNnpdVvQT
wcNxhLbEsHcReuaghxMzzksrcOxg/F3um+kPPGlrmEX7zcGd8sJcEg9osJm4B42SS0re3W6WRCF2
/HlH2lrh7owFQnIj6UvMKvRHdeiDAVrZ5yMQ+53nLHB3hVObnTamgOl1cX6fL98XqNu4GJOHvKfE
0kdb8pwp7siPxWCBaRzfSr/TdmtY3Bmg5++D+Tk+kkA91lcv+m5qQO61BlpU7EDlslC/k0l8SrbU
5GYApyWdlYTgV5jmep3b7jdTae7O76nMBHf8U6cCdNpBbM3jvQ5erVZfJN4nelGiv8RkpD02Kcxn
lPZkL3nPwue4qx4JhDPeSr9+zH0MEISyoCm8pLbG2Ho3vm4RN0kUdrIZywk4XsOyuQDx4fBCwDLH
+AFdNLy68eBBmFviNOKt/Fwnd75rs889tQS+p9CvYwWtlFKGU5VZ4A7yMKrJmmvImw3nqU8Xf03a
//Vjcae4dNp+0mqMz+h3TJGi2qU7IMmSo7InO1ztv857n+iO234t7kRDHtodNQ+uAdGfIIFQAVhb
pYxoMiPcWXaLBmxoaluFK/pbiWEEHjX8VJEhykRp5WYt/H1dW31vDoCrhk6T7lTtkNieryljUM6v
Ojrn5zdO+DDcWuPOrTIpLdSnc5Y3T99tB1wA7d4N9Qdr39m+9V0/yCAH4l2EZJWFHrz5BVYGychO
Tyx2sOrLeHzJUA7E619yhMR7+GmEO70Z6aayrOHgTXyrTTrmfsqd1t0wjd5CRjvwdUEIRiD38tgT
1DP40oWljmU7KlaC2c/ZX/QDIJSBUspe8F+PLKyYMKA5YKAAAcVpPHI0zdbp4oHypEhv8oJGrr7+
e8+DCBvj0EBtTnMBsD21kWej0uN52/qWuTogjtGU+Q4FoPEmreM5CbK1IvATS/FWyVtUtLitYS4e
aZ2bWrQfk7BKhtABhb9PjfrxvKcLbWDmBlVirBBSPaeL61LimGmzQh+m7J8XqOB0jidBJgvQNNjA
Txtfap7EXZestlq/jkEubdUZUGRGlzxYg2vcAZ6xPjZmSt4gQbg+JoOF1qehUVl77mt2A2Deh8CS
4aAbyfsjBAR0G7y5aWj0Dgbf0DlLlXVnrYqnHya1gIBfW4PJ9Xh+ewVZqWGDMMIGZAnWvzC+aNpM
zUmLUwT8JWABP37JnppLxs8DQfFdER7i+/KHxCiLTqfpFfTbIH6IwQ4Qv3xhsQcpjN67Fel83cmz
46Kv5kFdU5QOB6vYLWv50zDKn6XWk11RUMWfQKD+SGZVNmEgCgHgYsNr32QtbcM49a3YnlAItgvo
pi7xQ1+n1543B65XS2ClIhdG7xxPR5S6XMPhzifg4Y7WjAVDJniTdWfrJFV2eU5iInnLCQ2BJQiT
YcyBPkZVN8mPMyTDPHcVDMWmkkQQN83vQa4wyjp5wn0DDsAzgci1Qcx3um+9mZlM4771TWf0Sdvt
BtDe5I0enncTmRkuO1BjYqiN5rS+pkMBa5l3VWZH6UwkR0B08HCpgR3bZd+HF0unCeBgpq20flt1
kBtzVn/O8l2eLbdtr8oUIkRrwoWARoCFFyC6oKdbN2W2U3sKmLDWDnriANS5zVMz0tfzOydaEsTf
4W+sXPGlH5W4YzVghDANG298UkA9nDTmISvHoMimp/OmRD4H1hnbQltKx8Q1F59n/ITZAJdTqEOj
DOFZ0f7985UFRhfkcoaFAS1+6FErPENpNFhYmvwIEqKdwZ5bw+78OoQf5tMKz7eiVVUbl5qdhpPT
XBV5ez90oM/Nqu/nzYi36+/F8B1Pgk5YOqCTF67t/FrZ8xLpwJFKoFBCI9AXRZamwwH4ebbKS8Z8
1i1cJTaaLoReeXYZ/cE6XDTs0LZDEvWFZ7Qp40HvmjS0wKlKp9Ahb+cNCFpL+OwbC9xJsXKvsVWa
px8NT1xL3yuUhjv7otoVwMWZ5gfwdMqDHLQnx3lPr917GepK6BObn8D2eRNPjQJY7LwdMQNm0WAo
wcGORo9VqeH5pYpOK9hbcB0CKQ+aMi7OeZPdA/SVQEhZNS7TqjugPhUaXnf0gGT4E1NgKUcej/jD
3xC651ZV1uK2x9xb5q9mHJiJfpHX05Onuq3ER0Tbh3Y1hgRBjoY5Qe6NEhfeNMZ6Ch1vrbnvYzr4
HTjtfbq6MuqRr+8GJDGYdMcEFFqtUK05/VCtOSWes2BZ9l8KhFvb+/YOQ+43yLRRnn7ESulNecFk
b9X78/spKG6cWua+HcnzZLETWIb+sfdm7bTDeEBXYQ0Y57scWit498EeHhIq6D2B1vkChwZrTq/0
Cuz9AFjjyjik4dt6B+Qh2qv/wJwokmzNccsbusE2+hjmktJflG+NFelRFhX74spIrrUCtLHMrKw+
KzwQm0Vyd0rWzFlqNbAKbraALCRKM+vO0FMIcks0ZAW9BbafkAZAys3mWLkj7mQrpgYcnD3G2u/c
zuhGFphHR8kvSiKA8qBmE0yh7qM1JF+n8IBYrgaGdLwPNf6AOJDMWQcX61QH4i9ARbndrerKeMtF
3xBZJ+g7ALxCnqOfHo6ltt3e0Vbc0Ble1K3lW6PkoAstmBjlRxpluKDHObXgqqWn1VXZ+Y0X3xYL
ACO5ITniMhNcLBncdoQoVs0ymrdk3i+JTG5c9C1AfPP3GrhdirU1g7IeDEAu6TrOv9sKBKB1WeYs
9LetGe5WG6vZTlrQFoW5Gc3fBmgEqRfxRflg575C/OS3+mD75o/V9uuw+QcHWraN7O+bGy1eaFul
Oa5t9DkDtUhCMESFkpAoCsbbJbKd3tjIy3oaVbbE8ph/gzAoCDdZXFwo6KYzNPjB7JLOUGdaDkrj
97IqrOw7stiysQ6RgQWY2hZ5XNPcJan+oijuvnBAOHh+mTI73JWTud2iDhn8RTHoNUaZIzM39g1J
786bEYXC7WZyAbhKVaWbKDYTZKnRTH4UdbVPAZEoZV1WmSEu5hKcjFJX4RmTepfr30jxs8heE9ks
3Xn/03hO4KVztRW8vPC/tA9LU/Eb9ccfbBhkqiEazTje+De9p/VGn9ZIG3W0iNuR7Dx3oj6djRea
6E/nbQlXs7HFnaYKWrQNWfBxOhVjjr2GxvvjeQvCrwLpWbyxIVWFib1Tb9aI2hbZghuCOk/AyQVl
Ag7lPgFxubTyzz7wl5oMwDiAYjoYfeJfpsnQGaANJ3g0+OVRf292xmV3m4CbfnmhF8WjAYL25XK9
hlb2Tylbosg2xgocxmljQq2BCxkDo4peZ3w0Gla6P4CQ6bKPwFIPuhSyh5Sy+9iAD97O/Omhrvzp
IEv0RSFra58LGrOuTm2OVDW0SmtfVM9kwLdsw7QFZ4oSnv+kwpRxa4yLHHj/tZY+YLHl8f/LJgOt
EdYjqGGZlKdsbSIX2prjIkhT28qwjviucf9q63+58a9WsXdrtUjWxZyd95+tHS6AeFYHjPKCZSnG
b694L20JbEcQcFFCxxFAqY7RQ3I+kq2kz7yxT0ItG3yN2jvHqDDsm+zOfx62HdwyTsxwrmDbdk57
6iXhPCCPt65WZ2fEdwkkmMtuDQadSrZN8HlO7HHe0KSokKodlpXoq+8OqHiCDVWJfysAfZ9fmcwS
5wg6ScoR/HutvxLtmaIe6sfUQ7l79HxvrkaJNeHnAs4KsEUwqQD3fxq59NbOXAxLJaGHkYmhmoM4
ve8XmRWB0zmMj/Q/VtjfN7f9NCulTUdYGQ3Dn+t71ZPknbJlcF5XGGWe6gSfp5r2nYF520wP5loy
0CIzwvlcvYzGEjdYxYwZEhzYQEnTwDZlEmViM4Cn4wihocI//uPGXObKNuAAqQHQy9y8rGn8MylN
GW2l0JCD6WQXxQzrS/kx9npDB6136zfxNaVoSWJuoaeHP3Bn6JgAVgcRTowHn356o8CjCuxQrT+k
bg1dCxJ4OX1aKD0CDyxJ9oRutrHFfaBl1Jopsygkqp0mIJi5xqjzH6wG7PQGyHEYbxN3XMBlWqHW
hRaUQxoodTwmY/WoJk1Ux7KquuCuw9w6U73EOKGtf6UYqucZKpRJSA3FzPb6NDt46mRuBoYgf0o6
lWB+sJ86bYYMGjVMyVaKrj8w1WCp6CODCOgLPaGZj9Rd8gyAbYB/GyBCQD30LX8lSDHkZN2ioLex
xidQXdtbxbzifQ9kH8bzF7/KJx8lP9aHlTikyEm2prgnakf7uQeiIQttcMH25ht0l877iOhYbQ1w
T1TNIaC7tbBzPX0tQFlJZz1sFek0kGwdnCsuC/DfQ8/Kdpj07B5Ra2/95GlEKc26qF/yaHqWIizZ
L+cv3e3KuDDu2mVlOwpMpgD96Y+sDUn25aVS/5rC+h/wAAoAgOBeQ+UH7XfQOHzp/NVja5UNKTIk
nM5bdaVGrNyT9oH5aPrVDd0PcSiboBV+vY1Jbo0ktrOWANAJLSvMypZt8UZTA3rGhSorZYhO+HZx
XGRMDBV03WCYCUlrh9ao9UiTSiDtjcXwQRk0hJUMqCZbGxcf62luym6ARbC+HBrL8WM8iIZ4lQRJ
AboL5SU2X8USQTTrODuOmdDcbCkEGlPUTbQdibLCd34We3Z3Bvquu+ju1EMZWEcU1M4fPrFtMNow
gBfKzPwbZc6tOXe9FtKNQEblGPi89R6Y/GwR4dlyOQYVyhwrHmi+nGVRAJXFuje2uXUvRduuigLb
yiWqKG/xHoNZ0DfQ68B6ZgTHNBquFgogYqEEMr8VhIMT21yCaupFpRkN9txTwJKr3U+1jKCC/Xru
9J9Y4BJTQ1vyclAnSJjmEABTm6BYwe8H1bepzneSryjw1BNb3CslN3qvdgzs5AQMuxkYh/53HI6s
KgV0oHqoUZWqJfeCqGa/tcmTFOUxaGkSZpON7mFZIMMJx8SvM59NRpWFv2iRrAwminAnRrnbSDOX
1E0hURTmVysQrBhJvJ4P4JMIvf1wBN+vlAhb/BXRAAbpE9q1/JxDPRdVDRQSdjZL92s5+avz0E1J
ZI7v57+h+BN+GuLup3YpUwAoMMoJBmffnkhgYuJLd7LwfzPDxet4mbx66CERrgHclMJcTZ3b0rL2
582Ij9fnarhgTbup7ceFHa/KDfRsvKlXIjHBzs/X8/Vpgn25zSNJGSYnThITGdeglUdFxYOvqOM+
QDqkXoKZuXwj+YTaLIjtX88vTvapuNjhpq1Dyw4+MRuZb5h/lcm1a0ua3SL0Fjz9c3lc+Cgnd8gG
5nhuaVyvZLqzuv7VquOjkQATB6XwOxXzTIGux2mQOvPz+SV+AAPO7S4XUZyh1ouiUuH3d/a1Uu7G
3YL8GRrXH5MqYGZf6AWItpcdyleAWV9Ue13WxGJVwDM/gU9ys6yaY6VuQQ5yNV8xhHVyrG7Mg5yP
Q5S8b/eaf0J6gP5MRj9k0HjQLxjmVAninf4jxsr+QfdRElI+fs3GcYeiahrVw9mYwGAbMT4mPPKi
ad6VgKrtl3DeN0EVpNellPFBkJCerJOLMXGmDuiUwKdYGdIOMG03HfWXYceEd/Jmt8iY30QwvBOD
XLRRkwkIsqlHuD62aeA8lscVha7QetYSv3R8aw9OsQfAsrt9HJ13YEkA4mfXlbV104nikyopXkjL
t1U2eClCcpysjYs/vTOX6trihBTfm2N7swQAjEXgSB3HDz4x+9hFxTd6g66A5mKoirmSFZ5fJAs0
504IF4jaeulmTcEiF1s9dmmyBwhi3zTvavaiGLPkiStzWy4gUeDMuyaBMX2g+9ZTw9Zzf+R1EXmd
rJ8o+3hc8FkmaEWbK0x5MSao4tavluP5nZNcHjwuKokzN04rWOiU+Qcmbr71wxR6TnZr1kPEuoe5
oUgiuuTW4DFSXgFk9kRXvF9MXO4x6F81zBnKZg8kX4nn9CKm2itugqCJtgStUW5LLA/yZLGNMQRo
spBjV82prMwj+V58mWeoqsFaBxwF3b7U5tSP19/nP5fE0Xk8Qw1KjVYtELhQ83+wVvdQacnOMYfL
0WmOs6I8nTf3X9LMvy9fvgpXNjqlOjtYH9WcocLMTb4jAXTKqluoEkbVXnlMJFeuzCW5eNLVebeW
ywiXdJ+G2tunxAtqW48gAhnZ8QW4ov7s7fe5Si58pGlfqgXLBUEkUqIi0gfaTy/owym0d94dCM32
VqAfyr0tic2yk8BFElMfvTJj793KAjJlHgNP+VY2kuqzzCe5GFJnjUKadc5Cw9CViOp5fuPUhvSG
k1ypPMieqtA7Jgk8k4bd1fTduZwv4SW+8T7dIp2QxPv/8mL++4vxZEO2XXeFWmLn0iGo3xmyfdib
r5BpDZqD8zTt3B/qFcrGdD/5//NK2U5s0hZgt7KYzh93eXxRQ/Q9cvHEnKNx9dl8tGzmTfL9vnS8
kYB6FjuCKmrguXPhxNJxSNm3Yz9hs6IknT2767Gb2oO9zw7gV0RWFFVXgMiEjH2UXiaM6rz/oe6g
3NZ1H7SSGZUcQ+Fp8NDSVxn0DfoJp79iGEH14dkJ8J6k1ezLvmuNPkyXqpqu0NsfY8k1JM7sN/a4
JzSohVu9oPBYS8PjBTovzS4N3RDUv/0Y9dUOswK+egWKmgDNJ/eJ7BAfZGsWftzNb+B8qcqrKo8r
ZIKmM+Houz5eom/nY7jMBJfr2kvs2ZWOO8nRZt8abtpFk3w4mQXOfSy3TvJh7sBileS3sa4+VrEl
SVPEL5PNRjHn2bioCWX13GMXX/2OUcIP6lb9YQh76MhAKXP/v20ZdwNBjdxQ3QJfRe+pHxdgGy7C
f2/BsAH7hTCDBmQiF5SVWGMX+QjfSyuf1FHnSStEouO0McGj9gaqe2OXwQQIR+tLyGN6eKOH9R7i
UBjgDirMEb4rNsqZUhkz5lF8Ng4yX/TtEJnQ7uIO1rp2o1uzd924Q6k/1C6hTq+AScLb17u88LMH
mXcIl4o5Hwzb2YAF8SMEujXMvdWjwghpDX8BfzzKtA5C1vlvJiz0oa/g/T/SrmxHbhzZfpEASSS1
vErKrRaXy+W1XwQvbUnULmr/+nvo7hlnMnWTKE/3AD2AAUdGKBgMxnKOJK+EILXnvbrCG2cphj/U
X1mGNCFB6Lee4ydx8gDOrHu6bSV75/KUczVM2IyjuZ9FDUf+AdBrr3yI579LY9/MTKfcVr6M7SWM
VdnY9sD01OUBG/OGT72JrLyL1r3zsQ3jtxloLPsgO0msBr6zv/lvdU66FTnOhSoJUNM3JZ1b+KjR
vDcpuIMxgH/7o226xplaykFj6+xh4Q5xw11QL+mBQOO/EQXTSNnWw8F8sQWGjqv2bmqtuVtZUo98
iGiy551ubmWzP4HmMSDosMonsd0vv89qObzl/ShBKsl++Tu7AwR5VONcmU8SgktiWvCD2f8BGYgk
jPwtVzFgInjLJlm9t+bpE2XtLrUGXYqzlfGfyVALXLzu12mgdhYVk5uBtHXJMb4g1uO8lM5+EJ4I
Oof/wExTvrvtHZvXikw28D/msyvc3ayZaFwXnixBTTvxTvIA9QB9WHd2ZN+/HuxTmhLIW6ZJCAHq
1+Un7N28I8YCgIss+4TnWk6+t45m13XLEc9FKKG3XwVt59iromIBJ+aQhQzkpbdtthUozkUoKUua
DobTU5yoNZ6OJcVZEhN5LjOMVddMt/us00deNWfXvuHwNfETH3gFrhlU8zun/nxbm//HA35/FPkL
ziSYc22A6wbgr//Q6FpBG5YHtjP3ZLcc2+NtaVvR6Nx28s/PhGHjcpi8Eo7OmsdiepP1h7F9d1uE
zmJK7uLyJfuHrAigP2lgOPRYN9kf1P3P1VDuCps241KaFKem8J9XWxxYZeRYEyMvt3XRmUuJeXyZ
h5RkMJdBsOqTJaGXvktz7b2uE6OEuM5f2irnmSRYAt3itCMROyY7f/fd+T6cfoG/6tmbt+72MxOq
j512bUReu1xySrUflx17sIC3Hf+gT+SueGNG9Oif3Kjd6RxQ4x1q7Y3YXtwZCVRltQtg5boPJ17/
vP3VtqP5f0+UWnlrMgudJoKbymR1gKwiSJN3SXW30HpvYQ7RTOn+tkDN91OrbsyYkJTJar7v8oC5
75f8QzU9/4EMOUuCFT6AKLtKYMXG1uwUFN+LYX70mfDMiEy3d47N2GS6kLQZYc9kKRGWmkMzcULQ
8arsO9Nz5kO2AOp+Bfjcfdma7LnvSBmYlv8RG+efcqc+9nP7QlmK6sdgkx14GdZnP7eWEFCMOki/
TQ86+3FKRBZtCQqlbKgjwz16/Ltnf7tt6M2Dcfb3K/G4jxOa0BxnnpYveWzvmuUYe99p9qUTXnBb
lM7OSjReyrWqOwFRfQnySSye1hUYjZ4AWaxxUJ1O8oechX2nInXVSQLKzvo51jwE1kFoVXfctqPG
EdFtrWydWkp0TuCoTV/hC4ldvqIy5u+TIxYJq8DDuFcaZnfGTtKgGYf6vY1xARYWd9VufqyfjKh9
/XitRz3QrIBQwMVElhJZGxSusgqsJ5HdJSeaeHdWbvEgnuM/SXt+y1GRtHhSpQAswEtJAED9YDir
G6EnXP2PUtQYYBSYSm2gDSvie8ePd06qK0Vvni5fZodygA2Z/qWnUAf3EJ7WqGs6LFr5+iGNQWJ7
20Gk0dXnOT2ToXgjZqycvJ9i5FRm2wWWk3wBJjX4u4aHde0jAliysJ3SbyNIvf43wYpjxgLt+abL
AOyfre0jjwdQF1KGhrY3zQ9sLuJHwOfND2irJacmG3sdxvZ2rnemuZJPxHVKBcYjsihpQ9ndls/b
FGhlJzOSQI86DnLdx1S8H+gW+TT4A+DqmzyQbOD1okNU2rxrf2ukFnligwqf5nBJA2j4LnlnpfdT
+tFpvZC0Dy3T8aNoNFI3Wn27J+sETvMIG3dR31lhxlJNWXbzMj/TSLn8DLu0UHGDiMbFjKG17Pzp
e1PVH2674vZz+kyMco3hnjQKgDIjhY1382fnjoBTM46s5tAC8xkjqge6p8fFCl19A0GnoTTy2W1A
+4XxwoPoonuecwbUgfd2VUe3FVQcQ0KdoK4ICDGbog6Hha9LIZy1RTU1thWuWKv1gmQ0MRfd8PQx
Q81wPxi02dfuModT0wnNDa7o90u0bXoI/JaNrTYVEHBpBDagkqkKaidH/Q+s5nuf2B87z9jd1lHx
xn8EoYAq6Wbxr0qaY+RZM9R5XwXCrjGSOgEHwKk0yijB8l8ZoIZCmQpVP6LELIcuZlVhCTAwerO9
r/oCo5nCKCJDNGTfjQOYO+xh+ZIuhf2c+7zUwUYpqcOVfCVkGYPtlX0PpFYMOVt/Y0wKOAQ+Iz99
7mN/c63jPbXi5dNtw6pt33+kAmjBYi6WL3xXcdF+RkuCl8QK+YneyX6oe5+gGDhiV77H66S409WM
lZzlX4HAGsJ+Iu4+dYl9tQufVeNQBU7SLYcGHAu7NvOqRyMehifmCl/jOr8mmc4uwSuByvnvxnpK
C9JVAWtxPEjc/6yxC/TY2VUb9OD3/hFPXvszNp0MTH8WiPdEnYT1gML5bVNvnVOsuBDJ5oqVGpWQ
bo0NIOy4UHxycu/YC6cDjabv1h9YB4FLbNZvrbmmAcmSSRNpN10b61U+AzoaGBwV1/Y7wcUwgMpQ
FFN1P+UA2I8nF2uZc+1FbLCc/dymGClP0vFdWfS2ZuFPDcH/fAIPS8IA9DCxG6qkU2nS5PVQpXaI
LGTYpV+mj5j33iWP9ecR2OAl+C/EQ4L/6nxt60ghKIJBBiTtLrMVvcelZVVMihrwVhnYo4HUU4Vt
bJd52GTCx/Z6nOfvfHOpk8Ptb71lcKDpQFvQnktChcuY3GKSpwK8gh0m/buVHYvmhbdHkyMZNw/W
fCxzDV7YViAG9BnFsjTEIkxeynNAQQh2RQvEKHZZoRnfrZgKLcrO/dyXs62LVJtHSmLMYecIVXAs
oV2KM2JbzMDUJaGJ0UH27Vdy9cYBxJyvRXjeivw4KwArJ/h+iBmXopYupX1VYkF0HCYzwDLiTxY3
uqOp9nt+Oajk60Pwt6GYujJNuqYk8ZCTkD1VJ++uPCbPGdpYZRzYYAPSs3psBEEbb3gASAPZC6B9
StRdVzuphwIMcP8SXllTvhP1XZNp/HDDegDbArIT6MoAxafiR612Nc7p2JAQkzYBr+/s5MNtR1cZ
IKTl8HejnA5IfBPEFsqtxcfFBij1DNSaaNjZRSA5y42dG057ckdCsit20/GVTVspE5MDBAcLoJ8y
ql36xGh1PiDR/Croh2LXDvyFC+QgtxXbOFF4m9mSiB34NQD8v5QBumqRNANkgEfjbuT5Qxu3X9Bf
0kTmjfsX/Qi0I3wZnCV04aWcwsUoV4k93pBhh84pQBY5YrjfebLC9AhmECBiaada5E+/vBAhErCC
6GuaRPIAXoq0qwJXry+sMH7M35g7hOK78VjcW4f2JFe04lDKxXSL5v67tihAWVzQvwLxCECVTPlq
w0CslKUeFBtCkf8wl7exp9sruj5XCH+4RQFHL3F41IBPSYF4PBpVkHcV2OZjOlqfGK9MkJIMGJff
jyDccDR6XZ8xyAQQvDSqCQIbxVOWehFGMttVUDE3P81tPOynPiMaR9n4aIBMxVlDQdJ1caFdfrTS
MYvaADIr8PuR3N9TfNjy4JeFmYb5aBvv/XE2dtNaVbqnvDr0i9MmkedQoLAASQX8L+VtuwAqCC+J
lYbLXYn3ZthlAUBfdqCMeJQt4zykAebMQCmyx/D4ngMLXNc73vAcCX6Ith1wd3EFKOmDgZudAPSV
hqBKpp/rKca0jkeHMI098fzaY4/M/xdxq4NC7xWKlMD0kVEZtArcLrvzQAOzK1iXBDQB9OJtSb96
gMoxxItNIuNhsxrIwsp5AAWn4SyoMwdimMBh0ttWNwWg2xUA6Gor6+2Kh9xPwWPPDlAQdZzIcBIG
jPzObz7d/ilb9qXQmng4n0geFPtOhdnHueMgQ0ZiOhnLvd+INJy7VDc+tHE84UO470zH8uBTylHJ
O7suVwOXRcHn+zmzrKD2ksdy6X+myZBqDLypFaVANGQSjleNN4ttWrGfAl7Kiitwg8khsJ0ovLkI
5jxJX26bcCMIgDXutzDlePrVAGwfF9dFXSI7Kc3+JaPmh9sydAop1osLeFHtQ0blTuHoO0FOV1DZ
64BNtyINwDkBHPML6FY974YojdTsyjrI+6ycghqavefUKr4Tu00yhG5W4Q2TlrUOPXFTP+QpMiUC
tIGjBBoWY28ij9M6aMeEBUMCpjFbrHPQ0rbVxGyNKFfpz4OMMWFG4eJzxeJhdjjqCTx7FzPy9+1P
tuUWyIswuo/MCBC7yslaByDVFTPuo5LVj4XHnvNl1gz9bqlyLsK+vBi8fqBL78grr3ceu4VjkzT1
79e10JTEt84uXuyAt8QYG8KN8nWwilx3sQ05LHlbpuTgVmmQkK+it/a3bbat0H8Fqd+mIV5OJw9u
bo/9fEBVwN+ZZdu8TYHh/Qdu4GLEBtkQJm2A23lpO6RkGYrgELUaRWhMBfis55Phaloj207wW4qS
Ii90tVg+xri60zx/qAhmTruBV4fbZrsuL4ByXMZUJKx4kamJZNnPzZoV+D4NhpYPokFBDgAQ6HNX
ZinxQfODxYr83mjpfLoteVM/HxcYkEFRL1HzyQmAJ52V4tziqbZzOrTw+vXDbRGbzgekCVS9kP7g
NX/5oWZ/pk0l87oqfbMK9/PEjKfVsHeyXHZb0lb0c88kKSeW+8tEmcz714KgszrwsGmmo5U6J9sX
TZDwUpNxbFkP+M5I2DDQiOBHLlVLRSmWcsHkqd8PcUDa8Z0oQWd2W6uNBy6SOOSPgEnAWxqw9JdS
ODrnBCVPFFABEoMygZXPaDxZ6zf8v+mNQdY17AXnB+5h5rxcxzyy3NENsFjjRvNI+F06COMPIgoe
wGi0IyFA1UI9fZ47GNmKC9pOu8AY3/TVj7x9GvnH27pvxROJkQuw7l8wcvLPz4rw3EtngBgMNPQL
4ziBFmuencjvNB6q7in8kyYzB8cPE6PIRpX46HFmlj3K8yghWHt7l3x1vydH62jsCPAvgA++7uZd
ErYvr14bUCWrw2brZIq4YfAgGtv5Lqe191CMS67JcDYVxOlGw9KEJcEoeWlHStrem8eRhuN3SchD
0UghR/7ya0UomHcDEi1A1zqfkohoAsy2aFw6eCbjjQVonUvRC19601ggmj6bobkjVuSApfmdgYWM
/IObBwLJSrqzwuZdHxqn+tNtB9oKPr6NPoctkU1c9RI3zdXphqyCfZfxJQcYZeEaI44GXuttZepm
lLbc9Vyacp+bpK88tiDUOaLcJZSfbMvcLcOoCTubYigeORThFAVp5VJKTPTz+glZHoZLijAXiXUw
6ro4JTWnrz+AmKYBtywQWlAPVRtUk8uK1lpSCo56I5idv+z6fc81BdCNKAqwQVS3PSQnsix56SGk
dZtytGv4gchA6sGcE940Gj/YlAG0IxDn4J1/BYYF2oFs9X3IiEf/rW0bz32im1LdEoHzDNJzB1nW
1ZBqn8ZgFDAqvLVn3zv0XmyFLRt0wFEbDi0rj1ACRIgOYtalsWILIdHFRFrgcXoypvgptZwTRjqj
oTK/3z47WwqhQiyhhC0MhajjGiTtReK1ODs8bg6F6XztXEzs/28ylG/vw0qdIPgua87zvVGi1G4w
r9/flrJxYIB2RXFFe7hBmRplnVKU6Ty1NSD9luc0b5agqLDRSpPx3W1BmyZDQw4Y8pikwQm9/DqE
02KdRQd1RP/XTEpUVIySRreFbGpzJkT+iPNL0QJLDV1hMxQEjgl26NCcaVxHE7i3pcBkgOW2GGLn
pZSxGNtU1LBZZQNTBwUGABfuLV79kTK/xSixjPpDFtcrcNudx3VwxogxLDUbYDS5bbOtY+OjRvIf
bZQb3jUmv7Rd3DX9IvYZZ99cg92h926HcZK9vy1r03KYPrRwPglWAJRbwG/SfGY2nKAj/s++6z4C
5+pbRfw/ODuImIj/eNmhcqp25vJkjFlZ4+5m7WiWoTdn5nqYZlwN4W2FNownaa8BWg7me8CkS4XP
HG7yYj+vOQLBPPsRb+eD6x/d1nnEg18jSbquUleTN4B8cruoAqvXNZ+JsAsBb7A7DInSuHlXclpq
XG6renchRf1AA7cp76FPWhP6KY/d9nPSGuIxS1xXBOA4mH7aBVDgq4l6HGwtlUCXQuSFRtkNP0F9
C7kz2mPYN1AHIywwa/iUjzhhVj/vjGpIgm7y470o+PH2B9w0K/D10aKwAZ11tZw6pzS1HZxlvymG
MEnMY8uRTP+BEAfvVzyI5C9XQvkMtIXMnKGOSzj44sqvcWr8vC1i0xHPRCgfDgRhrjcSePzYV2/d
tXpoknbv9dnXEmDZt0VtmszBYBuudDBmqiPYU2Ek6MrBRwDSEzl9/USaTlNb2Pz+ZyIUbXxgvsad
1KZwpoPT83B27b2YV42b6TQhl6cXATUpC7cHOucsSECc/CtohF5/WYBZ+7e15G84ixAZt1KOaIry
X14cLV6nO9LXQ9CknQ7xfVMbsKRJKDYMI6gjKKYAHUDWyaTE8iNQpu6scYr+4NOfiVAM5rVmv6Ji
hu8CSKsGozuJbo1v88ufSVDM1ToJ9sQYlDAF+F5IOr3hqQ8AOaZx4q3zAoI3NJ3Qo8Q/iiZVO1a9
58DD/FXsk9l7EvN0mPn4rezbj7eNJi9QNXKDUcvEWwHbslcUi2j2OjMQtJCXjl0hUTFz8dQgs58D
26+xa0f6ZflQ8qHwdxlZ65fOTF7f/0EYxSAbutnoGaBDeumEBLSsplm7dTBMy3tn8opwLuCEyyA+
39b12gchyAfvC4rC6P+rqxNJlrt9mvh4NKeDc8qcWmA2JI01brhxTUkx4EKT//q4JS71aXKzHEmX
OmjeOXfDIyh71zB/qycVvVYHT3PcDSjfy2RfVcdsaEdQY5X5JIumZHko61jzYtWJUFWhnejSBiLQ
JWDgjU+XoYs8c110OOtbJ4vgwYouK2YbkRYpNusXz1scXEL9aPE9c7OhlLsz/YfO9DMdIsOmMBDW
oTYFjwOd3KWw1u9FygpKQ3f2g6UsA8PzsM73/ra3bUkBzgLe+7iIpGdfSilZTMARgnQy95GCuHx+
Sdt816LUornAZaqtHmFMZni2+WusXX3rI/Hqu7VFEPd4Ne7h4ctLmcdG1LHGDzrwy5zK3FgCHy0e
TYP82j2k82EUFTOwclpIKRGDBJZwgJeycCVrOOI4sUIHqHttRYb1UYqg6wAI/Yphs7LLmmFBG2sU
5MFwvH3RvKH4z2s/FRbpQWRkYzoXUtQ6fl3PZuvEMQtzqz6U/rtlRgU2/fF6ITYmPlHNkgmdOlU1
NnU3zSxnobfa0VzNAeibMWGlSRl/UbpeegNDUwU5owSpRsNXce7abX0/G4UT0oO170/GU3as3xn7
CthhGFt4loCnIsJMZugEzqmN8vfrrkY98U29B3R21ES6Sp6Up/4eHAMLbQo8QUClpByDqjWTccJd
ttZlEoEu/UdViL8AbugEjZOXiMVJdNvQ114JpsMzifK8nCU1XmlavdEglnhmWwYVGY+scF/dAZQy
5CCUj+YcCmyXMtJ88EQ74tpszPEE3Le660BxUP6BX55LkZqeadKixNJjPISFLdBvgEO5N6zlAPQH
TQDZNJhtY2YTsOZ4aivKmG3cuIbMAQj7mpLnin66/UE2OiHMRGkFQ94IFPBOJRQmAsNYPcpFgXDS
OhxtYucBttLbY46L8q6pbMDg0MUNukRgr3EGDfhMbfHdX7PmVM8x9kV5xb7c/lFbgcVBURGO6VIP
KNaXtkVJzGQeoFTCrhURmx4y5mAPXpPIbQuRT2JJrYdC1qWQdQX8bw6ebNxlGGqsUTwXwDoeXp3F
XyYCipt4Q9euIo6RljY/JnBWi+yrBcjq19oLQhBRML72a7BREZKuzepUPoRY9Dsn3yzgFJWdxlGu
bzLku3hYo1mGdyjmuy7N1fmY+B96ZIIWib0kWGC9QxX39X3nJdXebFl+wMryc2b6iSZsXh8BSAa+
uKSQNJG2KR4KXlErdgsqX9pP5toEixlr7HcdByFBhiW4AeZj1JzeXnIf1jMQMTyQ1BVl9VzU65NP
OPAcM5CYxfGrn6kQCKxv9KVBPwXdLo2Z2h2WXE0EiyGz9otvBQl9Vxe6qetrD5dSCHjg5dm+ajRk
RtalXgu1En8Y9q7AxeNPKM911qRrSW2LciELVzSal8o3Ksoyd/noIEylw5uhm568JcEd0mk+1KYr
IKL/R4xyZq2xX/Imh6MjTbUDPkxVSKf+1ZmTNNtvIcrHif2McjZAlxprPkHfxE98bL69/sRitQZg
M/K9gybKpQNg3mEZ/RXPnZajZ5chS+NvAdqoMZe69oc6i2y92vAxdFq9K9weZheLWcvoQ+f4R8Xn
7zEy4h16QhkmQvM7v1vu0RqIelM0YVsPH+cyeezyVnMhb4WO81+hhCfqLN46JkUToCc8cTBu5vbb
XBTF+iSwFjC+aTFIluwYK7l3tBxHR2W65TQumm0g88U79qomiPA+g9kex6BimMeYYoo5HT5rTC09
7zKVgqUxjoqRQVlq/fUlztKBGbNjLs+hI0usT0vnxEGTjCygXvvFrV+fRV0KU+5HsowlWG7TJnDN
zH9sDaxmWf7oadCXr6MiaEwokntcK3j+X2WrRi76vMkaxF3whTb2kab8o+emX501OdIm1w0oXn8n
yMNTBYEYA9Fgxb48E7Wb23z1oRVA1U5GbjzYKQZPb5+7688EGWjYY+kHvN5XfVFe47lSrHkTpItv
4mkELDDsJu0tBnLbpdcBxmxphC0fSb0JoDOm5lYjRmVaN4ZGg++Fi/VmThaNPtdxF/13BySrPnYO
8RBTYlUxZSuY86AP9taQgoocAJ5rx8NWOJora8tyshAkH2EW8mtFUpYWM3DGeSNHyb/TeQkL6kdk
7b+ks45K/Nfb9PIwIVxgBAidHvA54fF86QnTzJ2YdzixJY0BvOqP1i6z0m8p62hgFjko7AzzO4oV
eViJDMn9lJJdmuTpi1WJ9d4d0ypMJvDeIyh02HVK0QFHVz+glQls0x7Uu4bV4/nhucDZb6ltBNQw
adTWU3agJLGDamLfTGPEftZY/gCx4xpOfq7D7tgyqE0wX4ygQXG+FCUdkk9TkiI2Z7a7s2YbE+Oj
+8Mr/fs+xizhbb/f8kRAdMkECkcMx+vSogZGFXmRYEczzob0IUmnalenLdf4yHWgx3dDlAUzmtxl
9JUT7JeYiCssfDc7addDkxTWiWLQb8+LGSOlRgoYZ4+PqxfUU6LtQMky1JXTYOYOD2u5T6iqODOe
iK6DPUEo+tQa/vPo9jlgc2n+w4tZ8kA72oTCs9JgdIc7u+heyNAZ4R/YGYtgSCRlHVOt99Rrtyx+
mTTopqAXDqL6ctF9yq0jb2McArmDXF50lU9J7KzB6kPVBKU7fjYFlt/XL7z1vvyBImdS5Kc+u8/a
glvuIBWxsKU3d94OZ2f3JyJQVcajAudAzYGaKc0s4BU2gWM/F96Xyf3r9t+/bSiUeT3kc6iFKYai
TQHasa5GrKdO/dCNpnWIQeZ4TOvs79dLwgqWRx0bG60IXJfGSlk8r2RGbHQXDBMuk0j3nOUfuyrX
LbdvbJ9gLvdMlDzoZ98FWy7rnOc5UA7K7GfvPC0TCWzUMEmNlSnMRvTuX2ZmhDZPdm1ZRlXqBzFP
gzYFhjN9AsjEtwJsVOW8Rmb+14TJdRbrIIq3Ys35T5Tf5ewnOkYRk7qd3DCZP9jFNzfTnYCtMIMW
jGThA7351YZRki5rnxi4VkfavqmyYcFUwJgCTQBUo03dnwrPPGVxdrz9kbfiNSq5DoAOEeCu9n4E
9hnsLMW5Y216tFovDmhLjg3lEc+XJXq9MLyycd1iTASz/4pHVXE5lRiFxdkgy0fSD2FfFidgAfOg
HXTv6y2fwiKR3JVF/w9hRQnba2mAJWUx3bAADy1GGe0DSBQjFs2g13FCbL3wfXaIj5UbsSVof4BF
78XSFGM29v5QeEVyjx8CHqorINOeZQvwugkWJQFHyL+AVaXZz0eg+B3izwNeYWG6y7+92sZoNCHF
lb1orHQp8cHsaOrGOWw8CqDmTKJOP6S5T966PbANHCNd96+Xh8cxvqlM2a4uKMcpic3itgnohEoh
feBrAWZHGmY6LqgNT0UlA4VmaGbCi5QDKLC8ZFXyvWV29kfW1w/OuuwWe3yHg6l5I2zEWHDWokiH
f6DS1XBWtlQmFqplXpG1AUFxIBrBHS6ztGb3B+Y7E6VEvmVaqszpodXUTvtlLk8efWmL9AhKitef
dIyFI8gCvQl1ExWZwJ8ob5JS4OLwfaxBtHvDn7Ev1Z7iVHPLbpkPFRrEMHBWWldAADMpTG9wEFNQ
gQo9Zj8Qgd1MZEc/b9vu1zCykhxBEbnPhi4ew1D2ZUwusr4f5irzQrHsrL0Tig8GMC36k3V0eMCf
nPdDNDxkDxJ+wP3aHGKs31YfFt3tJU+U8itsYB7IKINFZZcpv8IAlImdYbk8YGAz3bPSLQ9GB3z1
dnzPjRlcBxQMTrc137CwjUcsXrBy2PYKKQX8SS2Mgp5oLDJUen96C8Gl+HJbyKZeOAN4sKBUgWTm
0rpeFmPEpO5x//fx8NmIubjHPClGaRajP5jV1H/sTcp1a6Ab9ywqO5iYkcUdpDf2pdQC9Q57hheH
tShPzMqe4nHQhKyNmxYiQHyGdjnCiZqiYfCTsm5FzbUrrQdAL2f3oA5jh8EYu92cieJYO3P1UBep
dhtUXnBXruI6mMqV780rnIMxoxWeQ8TDfeAd1kiE5d94nAXl+2q33Hd7HVHnRsjE3LiLnUV0jRz0
HC5tudQ4oBhhQ2zmd2URH6dqL9L6tHqaUtjWN5Mz5pgZk2sDqqfQ2uxx/81NYOAdYntV6JAPt31x
A4HABfQQOr6o1mMH21NSh5V15VQl+GbOiHqaQab5NFU22aNM757mma67xqvGUxovSOq9dHzvGiL9
iRECHiEaxrvMbvmhc1H3qYxp/Xj71205FPInHBMcSgkHcmlnb8pL20pN3LloMPUfW+6fsvxbAoD2
PPejUdA/OP7n8uR3P8tFB3QtBruCPJCEo934LakeSlfnrFsx5lyI4jxTYjtiduA8XbygG27jLnyT
+UZcBuUoBrG7bcJNFzozoTTxmUp2Zbm5RfF956R+P5vGwW+FpgK+rZDkOsSUOko9igv5Xpsw4API
zAgICKZ/cthTOa4aRTbPHCrt/5GiXOgjNq85aFVRFhbpjtvxTpQ8mr0p6HWZnk4f+ednJiuBgG1Y
AiZLEUtq3IAjGu+FZh5n6xKwztRRXI2AqKcEq1uDsXviBVM/g9AtSz6X9swf6IDpEvpKjnhU911U
ZW18IQlyg3hyqVbVkzYvOdTKmy6KE0yhxq+kdfpXBJ4gNgFsD3gGLkX4nbN6TkqQdFXmS21+jovl
5dXuDCV+S1BuMfQMa8vLGE5oT4KaIIksftyWsPH1LyQoZsKSTFqlFSS4sR/2qYiGmUWi043Db4qR
czAY6UZgtxUxNTLGZWGIArlXPFQtpjUAy1bamtx04/RL/oX/SlEOTdWtvgHIJkjhoM1jxbHKy/d/
YK8zEcppGUTDUWqGvUav+2R0cwuGyTkaLVcHpbGlC7xWPqldZH7qPPA8g6edCQjyu35H1jg0zd3r
VTmXoDhX3bLSdwoX123a/Sis5nE2su8LnQ5/IAbPVyyDowmEV9zlKVmWpe6cCYqsDT8K6+9GjMeM
aNZDN611JkSJL3gU+BVoYmAtlInLLDlWPfBKbyuisjX+Ou+ol2ELFaPteDwqV9k8VaOf1LQJBJ4J
5hrkbuh8LfZORAMAKn6MswBFdw/0H1qyp43jg9aMKeevMFF/VQAYHZC2WBUks8QEzah3KCe6a2td
sWPDirLLhGIH9jb9q70LvOKqClNxTeBNpAsYBZWb93r8EBcmxDwc1u/Q9TGVyn5agddoRHk9oH19
WClwVp11BW8dGGBuf66NbOpCkBKdxzrzB9E3bWAVRXffzsx/3/ZM3KGUsR7TmRr3eSHaAOvPurGk
ja+FBwFeBbIOjbaQIjkpFgHoognRWvAh4DlA8FMmMBaSFbrx040vhs0vNC8kYB7yEeXR6MJs1PBL
I8wNK48WsfIQ+a/QtC42bm/sxqDPKec04feKQmwsMtqApAK0jPEUuVnhfhF2E1mddHba8zfx2qSa
6LShGZ78ePdjaAL1J/V1Rf1k6WN/aIOyXZ4wrf7TGVodP8tGkoWlKby55WI5amtKBDTyCjC8SBQC
swKWbCDKqX1sZ4/ddWs6wDHLSpfWbbiGj2FNgGkhK0GzVbkHV0CZGK2BrMQibh9aWfu3a8Iz8sn7
eNv7t1Q7FyTNe5bVzYZNBLORP2ZWNmF/ai4DWhrPgDJBx8KY97elbX0sVPZdUNygjIDdrUtpBUCB
gPGCi7dKqk+ZR36kfq2D69qSASgrD406l2AaVXFC08DTtDUQ4rvFxIsoRjQstbxAW2Y7F6J4BAP2
xjTmiIAtwwOeVvXP2ve+Axa7iDLROK/PV/xzaYrZTL6gmysV4dZIAscojyv9gyFJzPSf2U3xhDaZ
proepBCzCicTE7S28/orHikR9j5wVLGI/AvS88zZasuazLyF1ZyZRrbxsXXFnk8aY20dnXMhMt6f
CUHT1KnSFEJItj5n2V0/Tw8GpsNe78nnUpSAGjc+KdkCKXb8iYxvZu3lsOlhv22ltu+XpCZdRiHA
6vgbx8KS5kDB3OQubUQs3RD6VsqCmI2cAeC5KFSpg4nM7yunSSCt7oL42dyZfxdVgGK05Ica/MBg
wfKLytDmoelHt025cQGfy1Y1zZcW7egYsp2JYCmit57MiUSLBW5rkHSmATHRT4nFp9tSN8PEb43V
vDmZW9Y2jYOqcU9eQND+hOKgrqaxJQMjuEC4QwaDo6WEIsPw5lK0kDFN4PlcDgNI3l+vxbkEJQ65
cy/HnWG7uKgiMj0XINq9LWHrOJ1LUGLP6FoA70qgw1qYQUbvWdcHfH2+LWTL2c+FKLFnTuIUjL0Q
4pigzcz6kHTfUILHPMrptqDtLwLIHzAYoOSrplxW7/hjJSPQyI1vvclC2meabo4lLaJUXTEvKIfk
gCzkX7WoemNY7Foqk4pd+7N7kADYfO+HI7s39xU4j3XQpVufCBtFppyXMFF2VdxsXQ2/X5cEOSqm
l+IvS4YNb3MMX285lHZRZJBj0oAWvAyrQzdgbH2GEJHbAXqoUYFxrNsiNvX4LYIpKf/QLg03Uh8x
tWvuZyH2a1MemlE3Tb7lbEhRLbRICVqX6j4wdq944nJ8n8aYd3T4wjLvrm/u405X+N9ytnNByuFc
13U2qw6CMt/5kE/pyxr/QWdGptv/1UU5nXU3gDKwhMm8oX2PXfFgIdOJr5amlrkVopHRY4rMQg8D
cNCXHx/lMcdvBulhrPwwD+WjUYhPyLOrqDMBx/t/xH3XcuTIkuWvjPU77kCLtbnzgABSMalFiRcY
i80KaBmQv7Ofsj+2J7JrujMjYYlb7Lq7j2Us0hHKw8P9+DlJ8qJW0BG6vB1m1+nIqDB9lCZ2XOR4
AToTLj2L2vu+jnyrVLZaKcf+ZWNzIwTkCUgg/oJBI8fpCBVN0mKT4hWIhLDp2wXTPQCWQz9v82iv
dIq20XKrgSR74yw1HpyPE48y8FWhewJkBnhjnJqWQ3At2ZMUkKYaXQMFk9ZepxBrtvR0If46f5/B
EuBrwAaAGAy0p6eWrNpqkiqBeLecQaZ4ADjQC4PodyWdPCVzbiN1Wno5nR9p0CkDJorWGxU82A7/
oqNgzKloqyU5XmdITu7iWvP6UF6Hmu1dXr0lM3x1j8yEki4FegozTUyfKetXIFn7BHbb1UfMAJoP
wDnnfhd8YEglMwoNvG9L8JbF8puj70A/s8A6NIPiQJcS0gGczh9pPZ0P9mgwRRqPThEDVdn4+s5M
N5EFSir0+kOvGBhVU3XTzotWSwzO587q1CrfpUdWq1wPRknGFNrNyi77u67XFy75WQsqkhDIeICV
WgTyDlqJdFEiVyAOVGElcqd4yePO7QNgrbHjQD8FwLCwwRW1zJVsGCu3VEf08Q75NzkZfpftZolQ
ayZg5q1kjgO0DR4yABidThcbDTNuiwAAAIgUF+W6SH3jUwaVc2Pddy7E8YIro/VY4oW7JWjYuauC
aYgjo2wMnPwZrKlOiqqOKsxj6iS9N0LXzU9NO4QWtL5mcb/vJgWA3UUk++zcoiBqIs4AMkbny3u0
QcDfl5U0mSoIAdgo7NL4Cmx+OcniVFmIA+bcFEKMPy0JByAKBztQewOpPyPb4xlguixM7+KGPgA6
9lCY8UI9+dB8fRqxYUYBtUXSAE0eSCSdDq3rgloxwQgL0Lw27vEQ1jaSs+meIjBPTvFNXyj97dC0
JhQe2OS2BnC4lx3LobNB/AJ07POQRMZDQ8Td9mAwjguLYU0hjXSjRSMlxhAZqxq1I2IHNPUCqNl5
TqzUrdsWoB6WczCmdBGQsV0OcZ7L33N2VFF9QasTSjDQR4AEt+BPlaktcRkmNdSwU2Vfm/XnMSjo
gqM7M4Jk5PGYBSPjaPadbiK1OkV9QiAetum7aim7u2REOKdGMSHDCu0gUhqg9ezyTdss1vfmTsbR
QERy2bxS5NKgWDxKQV9rvo3OVesspFZn9+ixEcG1IaFhxKGF2Wp860330cb9uX5hJFmlZCnwEiUA
EeVxrjiwuaFrgNNICBGJ0qZWXzuUetGL8WaE7kgGLm66RbkPTTIu9ROi3ExEIc0d8oW1P3rRugQV
pfO9XpQ6nZ1cbENkrYH2QO7u9GyihaVQNSkCAbwyAhaQBF+gaf6VDmzh2TYXhaHe8KcdwQdQCbe+
mqODeyopUUqMzWk/p3pwkxmRs+Dg5m3hEgS6hPOnCptyGvGmNgOFb5j+s93pd3XtXDlIxXpSZWUL
Z3mGrgOriUuXw0UOyKrTGWynbIoA96/A0zACn2LqufFsFraduNUgA/gQuc5I2bpVrRIEkcGoolfT
Qdnq510KthJejwCtgepZCLD7DvikDhVEV83z4L4cstxPIBr0sxEuHBd0SUD1jeIqcKJCFFOUoSpp
xRB6JrQTGim/M6PnUO9Wg4Qgagnef/7S524SkRoWErwH4ME9nVknNiGXrOc1CHCVhoD9J/bbOqJr
p7S/mnW5akt9Ow7D5E7B0N7TgTbuoNFOcqeeUdJL6tLNeY5b4l8ESAPwVxpCExGFzByTVTZIBaH9
2/rDvrkZ34erepNFrkIQFGzUb9HjUjxytpsPXPjorjcdALpBNHE6C+CSkNLELkHR2uzaYN85eIUG
z5K0xLB0FhYIdgSv1CdOk6oOwgKwNsd+0JmfTLP/HrRR71ZT9Npjphf27JnvOVgEFAG4EPBnihFr
2mkRoHmwGNHQcKeqXDdGvsUtvpQoPD+jgiVh3wKnV43VBI8gSTUwFqrVAdjmeObYbYo6hZq83Kwr
1nup3G4tXdpePptL4xReaQNCI9roqG/lie6XWbt20maH+tSC25s1g32JFwBEpQyxCKljlWqmNtTL
lJbo4+jnzRuNzYVcxdmNz6cSXgYtDcCrAi19uh0zNRibzMRgqjrbo7n5kQKSs7AxZm0gD4J6IEiZ
z8DNWp2kQ1o6KOCbWnwdgHRuC2jU++VVmTWCZyC8GOcIFfWcFCPXyqQzK7cz0Air96jqR/bbZRv8
pjmJO/lkwV0iI4BkJZroTidrHJquGky8JRBo0nXZ+HX8JbkCsyZYiPPqRjImx61sXfrZriLBrHAB
1pZdywMYKiBOhDvHbtVPtkXfNbR6XR7e+Vv6xBBe7afjq8q2nQIVwwkCoPgroMiaUm0ejBCCKJlS
Fxu1rP0OJfEasverSceDpoRbhrR51pHIinKiahV9uvxVc+cACWIQq0AjAO9H4biVU59mIAXCcVN/
d5Qbq2S+Pg0LQ583ggAe0HiDkx+ejnxiA9gDLLxppE5+7o2BgOEKlM/a/eWxzM4w8sLgvkGx9ZzB
O2vaNjIMRj15F/7OU93Ns3PTePlruGkeOeOO8gFnBeZXmyNc8PIWs93ogseaGwoMjtiuWkXAbrSu
2U+D9vBXjs0I81dpcdjRZuKMPqZvNI0LGrcFfzg/d0dDEWKiqdSQWdQxd6jagE30q/k6bcDbtu0y
T185O3TsPP+0eiEfFghT0XxsIn8gwiVqZyyhcmZVbpjgwaJQdMxqA/XrKX0Oe/VLWbIf/Qr/+Tb8
L/pe3P3hTZr//i/8+60oR8Q34F8+/ed/35bv+SOr39/Z9Wv5X/xX//yvwv+8jt7qoim+M/F/nfwS
/v4P+94rez35h5+ziI337Xs9Prw3bcoOBvCl/H/+qz/8j/fDX3kay/d//vYKIFiOsj2rozf2248f
bX//529wl7xs+J/HFn78+OY1w28+/p//XfzH3WubFjO/9g4Zk3/+Jun6P3iPK8i/cICgQMc1UPr3
w48M7R/I1YJhD/yFuGQO1wwk5VmIX1Ocf8Bfo14LhBQ/Bxb2Z1O0h5+pxj+gick1O3iaEmw21m//
84kny/XX8v1H3mZ3RZSz5p+/CeEdp0yFiATgXvg6XmUSvJXedHJhtGj0d7BFE4gOqJA5tvGIHvWF
W0GU9Pxh6oCzAd8f+rlPfZaM1nsK3TMVurFT5Ab0mvcs5Lbr+ONKXdUPWefSbEVJ4kU/qwd2ZlsY
Ztv1DQOhsUxQ7XSL/FNuPYXZUkA5N5cgGcD7B88FJJsEI5MRW0GFxxXRle7akdsbbaheFaZ9iap8
IQwSsoSH8RybEm72kDZ5xfl9SREBymP1ZgNSTySKOhoVxMyie2TjMzKBeHchNuJjOAop/jCMiwDd
nWhmw+PodBGLxrLjpoLhUb7vK8WfzK8lBMxrU0fi6vPRcfqxV4/3pj5nCyUi3AYmRAdFRmtLpRoi
JMxnUo8vAc2+Oc4Svky4R/8YDk4AR2KBYOAgI3GU9gxtJxpYiH0xmCAnvu7auyRYCMJmdoUF6Bpn
nwD8Agf+dMaMvG6CAWSKJKK164DVXEqeSl1aR+NSnnFmvo4sYeJOLeUBUjsFzjkx6soDu7mbD0uK
jGJmnE8Y4PRAhYIshqdThIuzpZlitGAtIPK69fMnZ5V6wyf6/JZti7vBR8bq1vGchQzu3AzyNl/w
T4EHCq2+p+NqpAkpWrz9iRRG00atU91NqeZgMtuUyEBZ3l3ed4cMjbDJ0X6E9kZgphDGieVCCEOk
acd3Rb/Lbg7iheipbNa5V6wT0np0Z3rpi7wKqeu8s2dtwfzMnjyxzpf5aE/mg4z+8BFHDCR9BOqU
4EV7gtD3wkFesiJ44yENZKUvTJnUdQ2h+7Z9hPTdK22W0PhiGHTYMceTKazeL5ArnTsHxxZFP2wx
E+qLgUwUs97E2egG5VJj4dLsCf4XOocOuFFxlzXMuZ9AgI/82qseVgtpSzEv/MfkoXkRwAy8d9GD
fboXVG3Kp04bFJAXQD8z+VYUCtqUATeytBuoWECUaLoeIDafG+OaJUuJi5lbBlj9v6wLEWzWjfUQ
4z8QtJ6jClWvmyRjAL5URFPjhESDhD1qP10+fbOnnZOZIuOEziexypf2codUGzam0X+qQc7ao7tC
C1AajZfqIIawUfiLBngHwIvBcQuNDkPYmjUdyngIoOEM+ibQXYEyKiVtZDbfqtyS/EaTpIc4j8J1
p3Xw3U0y5F5aMMctlYGtskzXrpsAXDGSPdbvtd5LKwnkvOui7UaiNHq2StJA3aeO9NQ7SrSKQmo9
aMpoPWXSlBNmZqrXZbX8SQuhMztFWRO446BmX/OKdVch06cGRBlt7ktTq6Z+UWmVz8pUW1UASttu
W1n51vLi/VURZJJrJoPluL3kxKmPNJMJ+S3HcE2zHB8BD+/B8a/l19JEBzyWnXpVqkn8IIXNuB4Q
hIbupCXj5vJCzs0uQBcodnM6+7OccBxHuBJlzG4A5RN9vFO7hSBIzNAe1u/YAv+CI0+pj6raVTk0
sdHbdR3cRxtlY3sdGUbww0LWyVuqoi8aFJymNiP6Df50/18W/V6aQmGDOnJSJKWFKew0BS/hjhTO
6vIiiUJZf8whFgLproPct5DfVWNWt+UIYXYIhHrDvlzVe+i6gFii9Ks9CFPWCok3NXG+LE2m4ELP
DAuuLeymOoXKBpRdm89K8NRkYJ9LFvzn7PwdDU50YLSJAs3hNpSKDMULXbqrRQd9NgphC/4dXfsZ
W1giHW81zgGPBK0wGlqwFtxJXAt3H6wP3B97Zw1uAn+51UgsNWBcp7aEcf0SkfaZvQjQJuSNefc3
WN9F1O4vFm2bNw/wKFhHORmoyK6HFPmvkqs7jOwo4jxMN8et/jAtUpFD7sxoh5Yr5a16vyWtb+/i
LyaJPYlEJHKfJL/20c4MRgGS78bNT2Iz/zCPK9AGzzs2mAjk+jty2fNDRXMZGIWByNNNwYeO/3Zx
8MNoQTYJ2BoqtHB8whd8UN7x3L/h/Y08JgRKFCgq2IIVatIUfOmKTjL7Bipgbqc+o3+XXHbf5w7u
1IhwQfQ1zaUK/oIUgAvYX2QwU182oHA3LOzMk2EIwfQQNFB2ZhhGT5SVTlJPemAu8501W9NVsYSD
ENILfGlOrAlxtZVG+SQjawr6d6tdg/HdB7irIPVGepZekcxQV4zIEI1812NieJeHyufq0kiFh7oc
FuA6mmBbrb45Q37FqsGllerX+k929f4YJfJEOAAIcA3BkeNlLQ2FNeno17sLzMTVlmj05/YeEHI8
uQfJGlCEnwZG0GaUE3OEAS3o/LzYcfpTWi2EX3N779iIsFaRM6pjo8FID/ZIQ91Mw+tPLwhwKrjy
IBPCBbGFBelDq0rspDMILV7CdpO0YO60rpDjXtjjM7OF1llOgcOBi8irns7WR3nqZ8zgUoOJQ7s1
MkGnZj6mBTETouLqRIkUirLgvTmjMWLdAIbHcDCIeW3dtpYXrNs1Wq33su43e9n7aQgP38xHBpFK
Ph1WZ48BJJ4YCJPk7JYOD5PDHkxnoRA1O3d/jgp74tSIYXZhWR1GlXSvUVfvu6rZ9vpSemtmS3MS
JPB/olkOFGTCErHM1gJGa8h1UN1ltkUs+unynuZ/QXAyxxZENJkaNKNpBj1aU9Zs26yTtbYON3hY
L7y9Dr2WZ3bwDIRwAe/6EvO04MgyJzltDDK8KauQKG8s9FQSkvYdT2mLTEQCpit8rVRX9qDc/JKt
+k25mLk7hEyXPkNwRHlPTaNNMdzoJV6r6I1p/W4vbUairZxVdON8Rl8TBI+Dlax4zNVvAxfv7D27
gd65262p95Pid4fNCpQU+EDAoQxKMeGof0w2YeYSAxPUX0b4Ljt6ltpBIJU9/AwJbeY3o/ZoxeEt
LgJCm6B3rUp/v7ynxBTb2aj46TkyWASdEUUNxCDUNZAdt/FdtgGk1IsQFXjSGpO/WkIFze4vRFDA
1IJfEolSYWF1Y+pDpKzgZu6r1/Bp9Pt180yvMr+4NkCeFq8k8tZ/Tm+Ku/42tEjux7t4fXnYh+SX
uLlQRuIiz0AtO+JzodWZo5XQ1yBsNZJO2gEpjQxtcBc8xanbe5Rkj4x8Uu9SVyHOLltJX/SHy58w
55aOv4AHT0cT/2sEMg7Li3w7qL4g74COcWHTfkzfZ871magaI+0GphzEDKdDaZJgLDWDmqQ1Pus0
AcPQwltcREEdhgHOQE7EDY4CMMCfWviwsNjcohzbEaYracJWDdPEJJWdXjGd7ks48tL8SWWgw3CQ
HQWXDSYNbByCmbQKNHCsoirh1P22dHZQCoJkT77t49EPsu3ljTa3OniugPYdeG2omQsnfAyACGyk
gQtTFLd2mlxBrdS7bGLuZuKFNhSjeRugSLbt1E0MtAe0L5q0z68A3uxXQW/1PhsK2zNaxVwNVai5
Fg27hyxl6kLVg0eL4mF2UBfGo9DgMENhOmOjgpJjqYJCRdYK26Udqpl2GYfXEarrq1bSy1VhjQPp
y7r5dnnkc5N7bJr//OgUG9Vo9doE00gxbwbV2WSduZBmm9mTUI5E/QqQFu6thPilbTUlNEAHQsKW
NMnv8ngX2EsY3FkbAFFziRuUZ20hHqeFHORUdTAMta9XwRRau5pKuAiwocjlGZszBSfBiQCBXjir
AqPM2WlyLqnEVgYSQp570O4VZeExOGsENWb0zOEJjQLw6bLIST5qFSDWhFX5Wunpppn0FbOihaM1
c1sDCA9YMZrncAmLDXplzfSxVTCWYtzkU+HRuCZm9wgICRkydWHiZg4Zx9+D15ALqQOyfTqmSp8g
5wHsGKHsYTI2afkYVxsZ/OG9vFaGTZb8XBcGd1JgjQK0HmVykKeKYupSHwHrlmBwljq4UvJYLL00
RVTHwQKI7PlzA8QzZyFziEaSos3hBqvabf3wS/+S+ZFPr4vPnCk1W+mrZo+beLUU4c4lJtDk+Kdh
MZKu4CWRPoZh83rw0OLopp51A63K8kbdLIUacxHWQfYITMhoJEJ28nTdijyAzKdUqgjbW4KGib3m
YZDPE/okjJ3mS3fS0+UTNpOMgEGgZIDOAULIEtyhlOvMjIJKJV0FXAwQDNcaqBNdJTDaLYqbC8+F
uTOAaj7PLaNcgzU9HV5sMjRZOrBmFwVpAqxbBsya9t3Wc79kCyxdc0M7NsZ/fuRu63CUeihL4i5D
rax/oGHsmtGr3X2/PINz7oM3sqElEa36aMY4NRP1HbK5UQ+kQhNtAnMkfdZ6cbFwd8wdaKQnENKo
ILNCe9mpFbD0plHfTiiSbP/nPaev6vXSAs3l/sEe/ZcdYdLMPDMtGb1/2IDOZ6jpbpjbeNHvqluS
cMFnzB5prvQI3wpMGFzj6ZjUPDVp7TQKCa6TG9nHed51m/RKWVdbtBT7AVHdyEPNYcE3itiSgys5
tivs+cbJExuZBAXKs2yV79XvQepCgck3H6cbZQ0VWnAHuMntklzx7OGGmg4n8kQG/iy4YhCGieIM
FbZ4q+84yNW64on3jvQeu5G9dPch3wWQGPhd+e2J9MnpDDddkRlFaSIc2EY30NbZ0HXwCKwmiX3H
+0BynyPS/jQm+K5cqUzWgemDGOzzZN9n4UMHtdXLh212zyCGwuUG6h9UEPg5OTrUVaRm1aQFyqGM
yLYmoT4q6CT0JD9CtiFw29voNr1ewmHMOa6/zCpi8mmC1l+R68Bh9Hnk1aMFQZFPrWmjzSHxpn4h
CbVkTPAoudHVyCtgjKqaEdNcSVLp5UZAKgOHsX+7PKN8CwjxMPyJhe56rqB9RjM4TSot2hS1bQul
y9LcKQB4N8UOOlOX7cytHNo1uCCXAWoExAqnKxfW+QQBSNRIx9otPbYHKnOteCA896zrcdXulZ3s
6RuA+ZfegzPTiccGBFQgLolHjQglg+4adMETjLAnMuG5KbiZb+UqXulf1Cfmy14GmiAoD7vjkujb
TMCP8AvlLhCSIyYSmXsmNe+GsCs1UsS1Gxc7lT5fntS5xYO3xnkADJtHDKdzmtRqgZ5fXqmNh6sh
UhQI5dHrbGTfQ9ouaX3M1C1xcQPJgl5D5H0h+3FqzYZmXMbwoiLGrbJSffpqvVFAISRfW6dXgPRO
aN6kpHpcLhOfTyQsY4QAFUK3AILvp5YVZhdTDlwtqR2wsTV6/NnMf7IbB7cCRMiAc0bnNlfYFu9x
FgYSopNcJ+Pg2GvGzx+Kpap3ecVmLh+Y4QkWoK45WYdwkU/QaKD9ADPabbhmb/pO82LPoS7b9bEb
KK6x1vxyrX3RFgK98wACdlHPBxZJh7qHmNnG/tHztHYwhZDRZMy8L8N4A/XJm7ytH+uQrfswAW+J
suQ5Z5buxK5wyTeQ/AMmGnZLAC/G4abWFhzL/MAO9Je8DMEh7Mc3Qi6hnJ52NpSae2mdmulbU0Gy
JENwSe1p5Sj9o8EkBVJU6kJdaiY3iSlFOASxXtAlnbVW6T1UNtsYQ+tW5q7z2k1LnJSML8O2WmNF
ja+t5+zi19GrVr66Qkix2izlR8+DT1zs+AK89NCcc166slDRV8ZQJ3YvuYP5VS2eWLwQp83YAH4N
6FQg2NAGJB6+D+rAz6TwdZwH8LSitGMAyCXcev92Re6ZjXvyPcK++gWq7dzlnJgQAtEPap3PDwQX
L4hzoBdsC4WzNhn1ppAzg+RKTlr06zTSl8tObQZrgRUDcRgHdiAVIKYN/39IYc3EH/hGPDs52BOX
iRh/1LWRt2DtsqGn0nnWo3SrE+kT3SWk9vOb8Kb3wg3kBq+XTuiMw+eAcogL8r2N2RHurrHmZGsm
0sQMXFCuSqYn51ssecq3aJ1t2U1quMozVf4Fy+fn9tSwkNcaaBR1egLDqAN6mW5+CWKZpFP86fLi
n8cgp2aEuI4pLaRq+fiKeDeCbCpi0Lzs2jU1v142tDAeMXGMZheWhBUMZe2rVtdu1H9qtSUo8swj
7WQ4YhgQqo2mMQNWGn/wnM6t7pvncJWQAZXMhpHya06WrsiZwOrUpuBqpLEKy0aDTX1NN8Wuu0Ny
nEQ+0uGG26x4hakm5bX+wK6XguOlORU8kKX25qiBgYBoaeilcX8Fhtgb5ix1LJ27ILwuLJOHqfDt
vJXs5I7+eR26mXFYkEuDPoaDEh1CYcEAi820jkF4TWW8LQLoliU39hKFPf/K06eScWKEj/Lo7dkF
EKlHV4gN4O9dA2oLo29c1LII5C7dqFyas0MlQjTHoemcnAl4PXFMv1h3B5cRuv2QMNZVXL5oARDO
scYcRYo73SZ5ApR4ddvadNOyjdJl5PI5ntvunHGK5//QY3vW944GuWCqEdOQGvXUwZP93h+2kR96
+SZ+sd1gI90X3riprpZiYLHh5scY/7IsrGCb51TrIY0KX4zuuWv9Xn/oCbgY/CRx6VfHBxa5cFnq
UtI+Rt7SVTDjKU/GzTfx8f5Bu3EWQNCB6GgOrIqnNnt0puciWKICnDltJ3aEV+FH1KhmNydydpAP
wosaXcDCWKosr+VJhZgXW5nrAdqEkd/xrmNirfV9uZYWWrPmzvexOWFIH9MOm7uqIWWpIUVnIBsJ
XYLTBWrSStVoggUyHke/uEEl8Doj6pN1zzvOQt/aetJ2CZ5+ICYWjzkkHvgDxsHr2hCcvwn1a6Ct
MZMy6N/cQvKTB8dFUZlsu6tuFz2VN9Ed9GtW7KXdqpulhO/cnkTVBiqIKOchByuso5FAvlfJFCAn
nNssfTHDBBIgr9USL9JchAjqTw4VQyjkgDD1dGr/XwhbHk4/F9VEugSTjTz66Tf8CmHLmTfigWQP
rxoQT8HdCVvq36T2d358sMJg+zdt8KVA6ku4fztkvGUtQQoxycyAtEkCXUG588zS/n7Zt88bwjMD
tzCqV+KdJXWgm6tL2LAhgCvlnxvL8PBO9i5bOXdwGA7GwpkHeDFJeCraSVw6WmQHCDm1RwWquYO1
pDFwfi5OTQinsug0Jx0sKyA0nUgzyBmRJk9PO9ce6nDhQlyyJewRSw6NDJqvfNLYXamxER2nzEDN
2y/q4OcxwRgY/A2I2YDaO6swlpQxO08cDMyCiCzdpGa+MJzZ1TmyILw7DLSJ5ZqE1VF1yI+OgURB
ExEtGJmdM9SOOJAIBWexHmb2DHyFIFYjGKZMqlxV3FYzM1LLdu62UEhyL2+589iPT9tf9vj3HN3d
1i8nvYW3AhSLh35QQwQcR3yvMiVWo7rCriiVEOmd4tXsUflOu7fLA5tbLYtjy1ADwGyKF7k6OlKi
qKFE4kKT3SKJn7Sy3H7ABhiDAUqBTCUaIE8nT6lBgaVWVCJ90T4ZMciIFLQdLTiFOdeDJsA/jQgr
lNWtA2F0ECDHg3RbaatQC1bQmFzYd7PTdWRF8KRy1I+1XWAolQXy44Bq93YT/nThGit/ZEM4QDF1
JmpNsGFkxjqCjHnVSvfM9hdRG3OH6NiQcCH+Dc7ohWkT8SFAHjixHGBxQivZRrq8KiPl89/aZLpw
KdRj51QZnzVWx75ltjeJVS4VdOb3GGr9EIXhgqiCjbAwssyOYwnN7MVnE+xBUlO+VhVd2GRLZoTL
p60bMLQZ0I4Hxr2ADNIIylaTBIE9LhiaX5a/xqOdHkyjZDQKTIzHZLXmKlG0jUsobn9gYcBP9YPf
UHTVH1SNmpszANABk8ReQiaA//zIQedT04G/GKzajgWeMzq5jda4qr5EH7hkRvAyHyPvnrtsHI4m
AT24goStcC5/iQLWDM6JA6s4XB0P8/P3/wj9EaOtQwqO1uimumnIcGU+vRWAYqRfF6EffAefPnpO
jIl9iENY6awdwA1rPZaRC8jdOlub+/6zs+NktEuwqrltfjQ0Ua8D2ixtxPjQJMO8i3TpOiz8y3tc
JLs93NbHJoQj+28lu515nJ/OrnCsE3s0u2nEeDtrW31vXxo3AdVvRLTmofdUQGuWJnjmIuGUt7wB
3wBli5jf+1u0tzPpIxCPyShJQVoZ+UQxYgHZ0FQGFbh8tfw2tzajj27WW+OTvdVvTcetb5zr8MYO
3Wyvhz5b7HiZcQAn1gUH8GEm4ZkXM4apoGYBJC/kJMQeoQQgaGjxgRu+J70vRW7s0Xv2WD5SAF32
+6ID90DsMt0N/HZTeMki8HF2oH/ZF3GPiN3bSWKwbxgPytQTTXtq46WbbiblcjJKkYfvVzLgz2+k
oxGKZzarazWp+QhREaqfpsANXrKdakMBmTTX9WZcyXgiQxwbISVq8kvpwBmvhAVGzgdZZcR7Ipxi
TKvM7DipeCCDvhKk4lMDEMplvzRTzsD8QhweaXekX86Kt0XnTGopSxKhr+r38RUKir7pFXvkOK0d
JfpGWoSBzbT0n5oUwtcR8oK1lcNkv3Me4yeK5x8azB1fWcev7AWwWXd5LmeaPk6NClemg1enLpUw
Ku9Gn0N8wJm8Mlfy1c+7OlBPAwED8gCU9LB2p3GG5UzMNnop9KxKI4P0JTZzl0FKTWmX8uRnUQAC
JjxuTWBY8QQ8y0b+PRbqs9POjaGVTLe4ai6oLE6HFeBBHTZmghz8GDxCtPTacaCh5RQLNTy+9if3
PsygBI2nNPR5EWwIZgBBixnQICDvTRMvobeTtdKCe+qEblpPpFXZz8aegj3hiP8Sil2uMAvlag6a
RYUL4jt8bo9Cz4+QfJ75CsGEcOvUYWbpYQkeUQuSSeBZd2vLWXh1HrLb4toYIKjmWWBkR8XOmE4p
hoHaJvXUrlavoQPS3ah9nzJXYbRt1wrwX1lEbLNQlZ0aGk3/KdVaHDYNsD+PxXUJ5GyUZ7uiSPTc
m6KmcK1IjUy3Q0NRQCYtTd+yIY9SbzQNZ3TjMNaf0aM+frG0FLBmGtVeFDHpM6hBs00UBJRASgns
dV0LxRe3CXRnWwFmt81KubqLumD8Zo7DtMhEMHcUUEPkvJw61lQ84XEjRWoPIL5XvyWZVz5ZV2hT
sx7MvXk7pK72KrvZ43IRWJ07GqiNIuejQN4dHH6nuyjS5BYADhp6oR3nIXqSiulNBrPyVZ+n5S6X
0TOkl2Xwis/uvgBVZbvA20ZQHlRYsBql1vDKIsLFBZalp14OPkuAzJEpl43fe7mIM7dtOnMTTTnk
p3I1AK9UGJiSG9idfJcZbXxt1mWUeW3F6EqNo2xH69j8dvk2mp1ZcJSClhgtMLJYX/ko6e6SGX6Y
js5jbyrMSXTO7WtM+6oDPxaovfRiqWw/awYdEUicwXGekR8YQAhVnWSgeRg9L6O6qZycSOnSDT53
8uGZ0Wh4yAeeCZoXpt1YyoSu6kh1zcpwjc6/vCqzO4/3Yxy4mTiE53S+ZEnuAnnSQ2+yKENeuC+l
naFR0Pu2I2q1kIo1xy141FhNhnoAF6iWTN/lKklAZ1kUWe8aiIqJXKbKtskqaxUFYeYWQf+1QVab
GENteLGqhKAPbdRbZGgyYoPg6kVvqbNNWGRtTS2l75S16b1Rwt8MSR/Xm8uDnLtMj8coOFAzgXZC
FKihh9b7dZJ/SnToAel+CGrROl2Y0LmNYdrI4XFqOUgpCAFQH5lW4QBM6k0QNQEutrPL57Jjr5dH
tGRFiHjiVAt08GaH3pCrqyYEYaSTkDL+SaLsw+V2NBhRThFSW04SV13odQYjLdQ7S8ggG7m8cFGf
vSBxwSEmMIA7gHARoIynexDOOM+jKgg9cAdD0wuJ/UYtd10XvYBOqFpYoCVjwtRJaZZmRUAjL49e
E6UwJy8NmnuKknDhdeVSOX7eGteF4kXAMxwHtbu8Bf9/6JVO9yy1zJUjvFpBx0IDthBezZsC17+O
4hjwxUJ45YCfF6BjDAyV+6swrzcmbbzJlldSaC4smKIfuB3EgAEaKZDmQ8UchRj+NUd+ttMBWWoj
DCyLe9CEZTTY12oDfCGoFDe1MSabTG92ZqzGvq2372aaNLizundW6/e9lPcu+n9Y58pd8Q6VvfCh
MSvzW1NXHfzDkKyLOiqvSisdb2kiWWu1NPsVOkJBKVEX+k3SBdnNFKr9Woon67qstOxrgXKrq/dQ
HFaVItlrQ9jcRqXWvgxVn3kKckBfEoO1kBuTKjl2Wwa52wGaVJorp4zt6yhSvthNCyZP1RhjH3wz
UDxJ1ZwUydjI6zGvBlLFUYwOmgT62cxNJQVS2mGd1QF4kSX5mUWhIj13U6b060Jv0MCkWxMemLT/
VmSNLj0lcScHmypoSmJlUuZBx1x1rTG11nFkISiaesPcAEwYR8SYAjmP8NeH7mvbxI6VEa2DZuB1
Jfel7YMDUnHlqW39HkHpdWUjUhrrwrmux8x80gpDvhrrqrxL+i64ZnHce04CBlY5LMOdmpfFl6Q0
0m0WytD+6tLxK5YygCp9kIKcrxvlvW1BAMcoI0DgwqTZx0CP78yyTvd2ZvUbpoaab4+WcqNBjIMo
lcL8CdIqGXGGjm5ltS9RtGofQnDc3ulS1N2bpcW+GSy17wNe63TQ9PtVT1yZdm+9U8VEokpBIFmY
7E2lUfcTiC7XY0cRGBa6+n0y+hHEvEZk3UoUT5OuAc65qx08LTM7fbKGVvbQyj26FW6v3yU8QtMN
4GKT4XVqYkMcwm4hm4ODSKJAQp9yAO5iNwR5sd/XVnwt5ZCgkqlFn9TB6jFOLfflTmtdLTBSYoQK
Jao5mABFWeNn6L7e9YPJiJXnHTGL0r5OtEomVqKq9/+XtC/rrhTH1vwrtfKdakCMd92qB+DMPh7D
juGF5Qg7EBIggRCS+PX9nbzVXRHOWOG+t98y8tjWAQ17a+9viHCLLzX63jdd2MPvOEz1Z7Z47MlH
X6JkoWEbnvXJ99rH/bG2IS89WIxsKE/mY6h8TKLMkbPgTkmXKxGJ5ka2JHOFbSP5NZAqOE4Q4Dyz
pJZHULRFFToK7V6vE8mNNEGri9w3bMcckZtpIADleNkryyc8+Mzg7MvHac9prD9ILpNtA3GaImQZ
FgdYFQWhItn3c51vVnhpvwywC6uo33inhRp1tdCw2xLXhtWM0lCJFTFs7ZLWx4zpbNOMgdh6K193
C9KvMpbh8tFx/oVpixXeZtnGN1SeBPf8j3GOQGK10ycvduYalqWkL5S0uALO6/QlMgQkodzU9VbX
2pS9ZOu9XW38fZl9UdVIFQpINae7rsG+7mYQd8JaJ9fdMpHTGMn0Dk9k99mKVDebzz3ny8ewQzTm
JvA3gUxmrxSy7s/EJMCd+bXYjfkEkwns0W+uIStIqXNLjqrrzK4jvYYXkXC2GFOBhHuGWv7t2g1n
SAxeKf87NLDAmpDz6h/aniQH2Hj7slQr82+yJTDHzOKdZO6y4wGNeQUTAzYTExzzjg7eLBV4bnFR
t0l4dAaEnnJZF7c3wBpWxpj4XmDLVyJL103Y+iiSr2t0I+MJ8XESuhrrDNjNeQodzgnPFkPfyzLo
uuAOWJzpeVHe2Bc9CYH6XmTQPMqVmifVhuJK1nBb2nYZOr8hTrGvyu+WO+nqZENZ7TYSOvZeRWQP
HF7ookrH1D6mg111EXfw36ozEX7JpjVuCqP5TCqYwfIq7OZkszoLFFFsI6+AjHdzChOePUJcFMiw
ddzgaxs0NllU0VDmeyjUrgdTD30lYpcWNJ04FPN5dCfICN/S3IMg9cgc5ELGUd9j/O6LaFt2FTom
t2T1+8dG1vGmcfm4g5e02kJfJPsEA3B5w/RLRAZxRX2z7KN2P5F4kOUKvbyKhPTWD9u46BfBtraJ
5b5BsaIYI1WBpj9hr8AydcEiaIpsyMLrJqLfF+l/hxko0BlcDAWF0UVZp6nedLDAq9RsP6SxvEpY
HxVj16dfuJ7sQ7ok64Rdn8nNnBj/KGIbFz6D5TGf1+4M9xoo2+RZe5OKVRxj1Hx3KRvtEbYrokzj
EVGBR1W9tNBYQAzep7pdj72a/U3q+RwxMWcbWH90BbjOybX1pv62CbPuPHBib7k2MSvnAIbeOK2m
XcOhxav9IdwLQ5O0NOG4wImdBnO5JB2s+Wy7sALyv/Mnat38jUQzv0nhnNlevKfRTkusp79Lbw5u
TcRoIRypX9q5m7DNYIdc+M7GiK24rbeFZ7zxCvlcZs68DaAt6WVR4cbwmjbsIcbseAEl547VfCh4
N3X5gY5TXUWNP32IiSQ3ddeHV5CjtSWmesKdXw9V3K2g1Dh6G0ztjYcQ9GkY6YqiAYMowKyTJS7s
0t847t8mg8zwoiU03LWXdaJIGt4dwaBGkFQNP68diWAC2kRDmXk2uxuVp4MiiqDCvo6iOUa5BqfH
9eHtRDn/MLRh/GinaK9qMd1AqS8sYw6TuCKXgj0GnbR3qAcyv3I+vYm4cNdUyuXRhVy9WhvJuhia
sX4IE8Ns2SZTd6dasm7mdIgeVm+gz0qFOLkjG+7iSOFsdHI7D5Haqjbm39PFRjdD36HMr/I9kd1U
IFnuPqUDCWXhrXH+waBd8jmmSYv7m2BPXAbRIyWabdTIxnK2/hwA2Oe3dcX0OnwkXRLf4kJn9uEa
vgZ0RaIBVeqZVW0yd+eosfVjgzIN9I04i8Oiny3Bu11GWg52YdvO0vpk+0ScuoAheg1h+qVdE36n
A9nowo6qQamINLqEwrZfGGWnfeMUv2NjCNWmPtJfSBo+x3yNFUw7aYdqkMquZ9JE1z7cfV/D6a5e
MqQFcbrQc5atdsvxxYtkFm5DVof75pr0113IunQDs+1y9uIbhZBJVXQX0q0nmTvC1S3Ze7Yzm3EW
OK8poWVPx26/BgCsRrCinOfwSaF00uDrNpqz6xEVsK2OmxXRSg1fPemv515o2IvyrNv5ea/OwOP0
T3FD9Dc+gTjqQ0G7iHiGJpsXbeoY2jEX6ZSrZliS42Ba85S1QbdnXCDzydx6heuz3SzEsDtoEeMs
koM8xlwN+5QRLGClHC84+lubnAhwUgIdHWlv+C4PxnQqAAyYd7nft1fZGOXlzPS4XXykQAsP3ZaN
PgRGMgjEc0TxT90UdgXNvHGDc5XdLi5uoqLBLezB6SiHhw42yRyo6bOdE7/wR4fdKLPYlc2Cl9sj
F/4QdhHbAu/XXWeLTM9RpKJtMkImEYsHKKtgAvvUW55ot0ftoztLBMc70jh6Dj3YJ0xpNZJheZxh
50aLwKZ4ucOCQBsUJNCmEHaZBER4CLJQZdP2JLKpu2+Wzn6IlBuOwtaYn8Hr0M4XrIqgPHODeOOT
QrVZ9JhpZPDK9TimI6G6ewU/mEd0lpvrxdfTLRjHAqfxyvtDM1Fv7zUOCZoTSEXAik+QeaWymrLO
q3yBPwSXcbcWTT529xmfbSFY3O1gv9LtGsxoZUDgPyo+zAd/UGYbTUjChW3yArAqWY6rJ/cIn2TT
cPwBwyGNV/h9nl2rbLEFD0Z6F5mUlFmooffJwZTxMkLvYK/ijomGmXwBWH4PT43pUyMWVpqG2D3s
e3PELmgtFjaVkOyNm2HXgA97bpoZb07x3NvHE07rwsuTwwo5hd0Aca89dWlT2jkjnyTLu89WA2+1
KEIPKiD1YdY98rfa0ivawge8WU1zWDBfQTpfjMwcPzfQbH/s6zC/b5d82qRmfRppcNsoB7ePDMFV
iXor5tgeAtJnKdKxmTyEboDsUJq1z2PA9accAk+FT1W6XRcrq2XAMEW7+vke9zT+Wi9e/xAyKjex
GdRjAl+1XUbtfBwnlPDKiyjnIYnWb+kc9qdMT9nO1GG3ywJo0xc27tWmaUZ7NdQ8jksyBdZtglbG
X5fFHnXkhYhKK0H5NI/o4zCxvjJNPe3kyvWDGGle/DmzC7yRUtwZV/tVzE3NsZMVll2MtRfFnkEl
lZBK2JVUEdgfn0BiJYXOawQzMoPJW6D70c67dGT4DrZb1nKB6+31bExYxa0F4zWEkXeNUuo28V4n
8TIs80bAbRvuhTQruGTZ97pf64e0PlC2GzpVLrXZ6nYsG/fakad6WnnZaUjskfBxlboU6h6V2RxZ
UdrCIHxhi2yB3fPF9yQY+68JMtQM8vy0eVWNx+WmYU1wtH0w34h+SEA79l1/mmye3CUjC07rOD33
SkwRykezgNcJ0d3XdfSzm2hU7g5I7idPtGrHCGM3YSzpXAKWmDcloXN7t1LuFRz3HsBtaJToogaR
qUI+nCLlB6DEL4aZyEMwcqhrtH5+jEQQXaf4z9MCbOt34BIhoZeYnAISKDy6lpPxsq9plvf3Y+u3
WQVGuEOWmOf8CqaoozrWC3QeNyzp1SOKXeSMOcVdQY1pLjYK99qNitmKvevlQ7NpFNd5GZE6/Oxn
whv3KpbkTKkTfkmGMcJFNe0dlAFAkfuQNYMzZdQgQy3ywcJpaOkyswEMDJNfU3/PsyVG3BBp+GWi
A/aI7u1X1idGlTpNlwbbXeP4cfj/u56yYRfWY5+f/A63LNSfcTnH6T3HKFFkrJ6wgNi60eMQRSVb
dYPUldTCbrSS61JMef6SN+3abDLjs2cPB0tfBCOu2YUKUuFt6wXefBVFy9MvpnU8+5M/PvAhr/MC
qbrkm8GvpdoyC9UxCETCzxVG6O0oSzQ3XbtXRgzjTUMCiXu6wtfO4qF5aXRuxNZEDntCeMhlimzl
rt0htNR96TsCYRgzCPPKzYTnEKFcCQqCMhdl0w5Mb1EsN7ZcJfq/8LD21r0SUK2+LBG/q6CFutw3
6TAKTGvbxfdZzhTyV6hYvvopTkjcuuwJMYiP4HDBcwfWUIZuE41c/xaoD1hvrwwep9DpHci4N6Nh
2U2zIs5ujMs4vHCT3vVY8RnXFcJ85u0XA5OPUsSXn1GGNS8cNZ3lOk7q9vMSdfwwxrVXZLU0W06h
TVTMZEIFa4Z8HTzDkNDAFdZMflzm8GTQRWsNKtqT36MEFHGw5ku/H+lTCOz/TeSr/oA/dOk1ZLy+
lTgm0EubxlltfTORbhs3nls2nlrNLaEoyyAnJQGEIXKtmkKFifeB0rGFMAwE/xiq5Q3uAB519Q0R
dbAUQmDPbbJBKuQqM8dqclBYb4qaiajDsds1L0qTxVz5WJ0VY3Uw70bUOvz9OjsfNc5wWU9eZAG4
MhwecFsDU6qvRgXIa4iZ7EmQS8ziEcVCiGLzQeRdu5ahquv4qe+JF+KKzpsX7c+5+mTCKC20acNH
3CV8jnPJ6HrHkxhXLNvPhymbQky8wAY/cMAkN1gBsOoM+epNyAt67z6Wq86KtlvX44LYD9tqn8hw
t2oYL1VtmjZXQjEcJIQtwXE0ij/NNfCXhetqKgqTogS3hfGYoRVB0gQdndBqvLYgZi94PNwoh3ka
JNyTFL33bNxdDeh9kC2k6sjnzCLxqKK0Z9dBNCXqMFmLFZrmEl968AZkAEGIMshUzzhMlmEKYFYO
gDnd2nnsbmuZoTuyWJejLzl2fl8wuYxQPYvMq8GB8KpQ3nnwQi/8jNhqvy4iuCzAxjQvaVCvPS7j
fnZeAdq4JCERNtGE2uK6z2vGkwo9FH8pGASrH5vGF2e/S93TZJGRrHrheZUKH9+VNNa8ijFJIFsO
JdiKJxxp0Drgt0RA8D0gebJuImqQtOQU5qXhrPWXTq24DLXx6OsSW6G/6sMGMRRdkY9z7+zNiKOb
FjLp+lPUkXFbI88KirYVTYzlNtePmTHDUmhCho/Wes1uRh2alfUCmfFiUdN8D8oBchkshvwB9TBQ
mnLegQJQh7E6pdR0h0Ur8NCn2T4omjJs78whSYMsGPCajbPfeR2sc5X0/Goa6tUvGIsgXuwN/fPU
J7qqGc0PSDNx3jKLo1mgKlX1MkquRiEyzF6XR/u598RXNhr6zfc885piG1YpYGOHOJUjpFhEQzEk
6arR+PSq0wEAQHWrwqrtg/U608Y+BbZ2pyhpcQzxZdpDh5CdHJrU9xDWy87Ckm6nWplfrVEqIbCu
zTZn+K81nu87PSAYIE0q6dLVZevD9NMPRrMVQYK0r2tA512CXa/Wak5ofVw9v72qGYiA8I5HgVuK
GXJGCPBbN6xBg1AaZYhDDsIqHKzMNp2CsxUsuFqaXBTh2D6JqA9QA0PlYgK8s4goatgc9+oSF1zc
blAIPHTMf0Hjg35mwvsCDz+QVkUuofnGUS/P4C9UzGBX71Fvn4CcM8uhH1K+S4wNzmzy7hUVbju4
tbkOEOYOdQxcepdGD1STrzIcswL1n8jib6xim+o5vKpHPhwbZuw2kTbaxGj6VFNss2/GdRPuCT0/
zU1YsSwqlUEAGUHKO/EYKnTQX1w/RV6fHhOfNIcQJfHCJ/qSgbtxR+NGbhe7xNtBRfNuVgF98KOJ
V24R/BRO/nKYUfDbdl2Cinf2nSAKJPUtuqiQPnH6iEsOym9DK0rCiNojjX6VIe1LGsvoQUPL9c7H
xbZ0eTOU+ZIOledyVWgK73d/lM2TjXyyVSDWf8iNo6fAI83V0PbuMQy9fCex98DjWTxT2HwsF9zF
ToR4ZijhiSkA26D4oO7YBhgGzJXdR0EdIlFnXwg08T52PX8UuRh2NTLIK2eyzzidUJhlAe4nHKWV
LQ4rs3UhinG5nE5ps6gvbsxS1NRWtuuzZC3SPnDXC8c8BCbip3XocQtH0N3iTA+3FlKNuGWF7FtK
M75z2ooNMiZvl3g1u2NCVv7yOclXb8vYESpq+Qbn7HQOp8nsYsLnw1yTBpavfXQgIEhtUFXWN6PC
jaxLCcS0U6WR8/dnnl9qZ2udFYHEglT4Yj1PsBuoREgoUfCMNvmgIf629OZzkNMohIDJxL86XkNJ
BVIOFZ9iUc2+hlXnqoJrmrXdMazbqEFNS3oI0p3cOTa2Ry9O833uK1e6wbon1LLICUztrHTdap6a
JUTuDyHT48Jr/zyNSbDNVsCNaNQ4yDmGPe5ZA7yVGmnFeeaEnkEkMLcKcJ8HiNQunz0s9q1yjhQs
dvFNDA+tIuw7V00ihkxQl/P4ZBZOznL2sn3cKFy1pXye1olcsWnxN7hzuj3WNvaj3w97NeUrypJB
/DX3YJg95ohraIg4GGjH3nQtuiVHVytCK4AO7ac6YNFDSOdniw+3aeIh8AbAery6gWa4gSCXOViW
piUZ05cwWs1Bp87bcjna3QoI6Z3uYdcxD6y/5U1Iy9AuEQpJfMVp04mryK/d9cTIWGlk9psa1psn
hDpdQk4qxexMw76LPbFbIsY3WbPMVwvQzjsuIB1WIC7yK0YoWNSLcVVrWiBvhxrUtSjoYErqFvWC
8gOqxGLGHWB2Bgc61IEtDMF9rAukus1tV0/xtlWQN86d8XEEE9QEzTCV8RB8G1yfHa0V8THImfgU
LsB1pJPkFen8pnSLjY9dmM0fXI4enIHuufIl0Ib+GJdsRKNqWeboyVMTYpInu7XZptKfPoERi1Ll
pXNw9DSdtiwIk81iOtwxJ4kAOvN3SR1/xUWixQ02GhSmoD4SQk3453bpnCczsvCeVuNGb+yVunav
9jTt+7aADDGgmOHX9uE9jOmvQALIuS8WHeARoDH885iTEK6O2pFWRso7iEh/9rxsx1N0nX4PRvir
usrl4SIYWV7EWcHHe9O/Z50wi68GiEgc2C3apv1Ytvtx5+Yqvm7hZYmjgVpgz93eg8Xle1CcX4Fk
fhz9zavV2bggVIhLi/1bY3eueU938J0B/oSf/tDqHtqJoxWCx5t8dAxVAAPcD79/g++N8KZ1D/RM
rcNJouUKU+TZVGn/7fcD/FX84Ocp+pMA8sMzLLjSNuNlili0sbd6j673sT52DwmYun3RvPoPSRF9
WpNCVBJS/u/N0a+wCT/M0Vt44UB9bwJrE/i2yd/Y/hOaKDtqn+vO2/7+Qd97k5fPf3jO2kHHmTK8
SRnT0udNxYf3uIbvPctl2/0wRA/aZhf6GML4dyy87flX3j43yX9XeOvNhL3BV7TZ5HzdYlV7ZD7r
jmwiRnayp3e/f1+/PCP+vXX/3No/PAyy7TZOVgwTBepcs6fEs1WAQtvvR3lvVt4cEGBNBqj8XbYo
VVWH3qD0P/0PRgBtMscJdAFnvzkEmIDcfERwvnqeLaU9ZGjj/n6EX2+hfw/x9hho9EQEegC4cRbd
IfyODuRpumk2deU+z0f+AXrGlTut57ZSX9+zrPrlkgNZEwhdSL2Bq/vzkpMi8fS6YOhaPSdovdYv
o5ds18FVv3/GX44D9i0JIBUQJW/xhmmgCFJ9RitYuW8u4Mk8MzDisuRzt9jH34/1y/eZo+kNhUCA
qxAcf34oDZlpFOsw2FwNYaGnYjwpqMHMB7ntd2LZZx/kxlXoP5oHtFzNu350v1qUP47/5qjIAQKx
nsP4HnnN+fcuecds4K8kHmzhHwd4c1DELJeJP2OAi7LTsK2fhi2u6+gLbfkOdcBok2zlzgAXgpTl
YHfzObt/T5b3r8S+N9/hzTHiUz3GocZ36A4IzOn2Yi4N3+6liEtevS8D/N47fUOQmJMxkHGM4dAH
PqxR85zlZv/7dfOLNXoRsYBQEQHqDCYiPy8bidQ58SfVVA0Kz5m+GOAOhVe/eoS9sxt+cTb+OFL+
Jn+KxrWd5hAj9YEuI+c2g/rWsOQdJcn3RnkT+9u1V22+YJQLfCeYk22KDFgnzfb3r+0XM/PTw7wh
Q3Cg7GnYY5jB7GA7XoGJ8c4Iv3wQuLtAUTiA2Ohb6Hw4Jm0W0rGp8kuNaLBlDVSfW/4nk/LDKG+O
QuEW4mqJUSycanEwokhKS+AT3zntf7nKfhjmzSpzNvU6YGTAM1RHXV8tOVBA9aPnvZc7/3Ja/j3O
W107Y70Owtl4nIWgryXu/fy/a3CREAhJpJBgCwGBhpfBz9tlSrPJB9IE0sodiGaZDj9mafNKYvrO
vPzyQVKQh8HwSS6MmJ/HCaaMxrNasL4aXaUZamAzER9+v4b/Smi7PAyAtFDw8S9ONW/2ChDPuo3j
GeD+I325iKirx/xaVcMz3asHWQLEdfj/HPHNtlklCZYAIJuqBSysr74kz+tF6eqw9FW0zY9hMT++
J9z+yzeJbCX30S5PsGl/fpNuCaRpLw9pUFHsh6sm/x/QCiAHj+ZlCobpX9neTQ2Nf2lRUcyyh6aH
uYpd/mv7/K9v9j+aV3H7X0Bg9c//xL+/CemmFrScN//857kFhkCJ7/N/Xn7t//7Yz7/0zxv5Ojyg
zPY6n5/l25/86Rfx9/81fvU8P//0jw2MUmZ3p18nd/+qdDf/OQi+6eUn/18//Nvrn3/lg5Ov//jj
+aVvh6pV89R+m//410eHl3/8QVLA+n9YRJcR/vXx9XOP3zy3w7P62+51em7VL37x9VnN//jDI/nf
ofGSQnEsB8sPyxkHDDoDl4/i4O8+/DQhlwK3gD81Yv/42yCmmeKzIPp7iJ5jiCz3gvJGe/qPvymB
fg0+C8O/w5MHQotQxsfvXrK3//Mafpqwf0/g3wbd34p2mNU//gAjB+vsB4R3BIsuiDiBqIeveHFr
enPSLnbIJzdEYRmmVLPKz+tWoPakhvlbBqckthkd/Ngy8KPqJVoz1DKASqIpUKlGmbqcrMcjYL+B
auKe0wCpAemkL5gntDNRQyN/wqG6MBjbzXqBSgVtuDxObc+6uxAiVWs5r0KcAVC5CxIv9TbuAs0C
wKktIJw4BYWI0Tm6QtENPQ2VrzwqErnmm46iqXAOdf11YhqAzwuAjNZy1iW54MsGYj9GNRsv3di8
e0xa+YhC0Bn9ZZu+JLKx/C6+IN2aKFXTAQjXOcdDB/NQkqTt/YPtF9ZtejSX8lOSDTFaFMDotnfR
oPxhk7Kp5TfLWvc3wg3CfhZtva5XDoiIlxik/BTZl20VjFLpFMkK4NDmNs09AVrZGkxDgaQnR3dx
YYKWHu5lw4bWBD2YiOomeQSwj4uCTeGYVgBdU0j2AKYFgD+Q9LJikvkOOvbQAD8H+ZheAz6QEBTl
AUN8tKCatsG265dmToo4yfi4JW1L+02Pni7QZxilfQG2vuZl6sFzbMOHXj7FUZPcWZ3QudJNR7ty
8WdSlwkmKSrCpEHxNg0AYQqVUedRBQpqDnOzHmvPG7yqJ2lnAVNve70dOzHKgx0n9O5VPYnwQCbC
wUQmLswO3ESxrnho6w+Bt+Z1hXooHzcRoML3VmvhFWjyAAyBBo6EhkFgBoIO5iLrfdijHYUGggnh
3Dtmdr008FWL83kdUM0sxnAi3g64m3zeQ+Ddxjj0kqQ7zDHO1Wqt08AvAhjh6M0Y8xy+AHABpdvM
91hbzWhu5pDiAsG4xGjRk7845VW2Bj0PrrdqAWyKj+tJMQeCmWinIdu2fW7YLSGX5gGREz0ICjRg
6ZJWfWz6rAm+MxC6kOEhYN4taZSFBYwR7FQ0ekXntEt5rsq6kdl83at0Bo5bqUWePCcnch8bUgNY
5OnG3cp07O2HAZ5WU6XA0jyClLR0W+i4evzA6wEZC0AOKtjRdFC4blg9fPf9sXvVzRA+8BxGp5XI
Wwdudm9SXVk0rwEThBZM/A2d8+g2p7V5BpDXPUfAItfAcJCFVLxbo3mrrapBn0i1GXZrDMG0k0n7
MdwGCnicve35LO/6aHEScdP27r5pdaeBxvfg8RKvp7YJyQxA/+yrUoYZlY8EKR1aBpygLuzQ6nsm
PGg3lrjgGdpRuMzHST6dvTAXYie9JVlejJxHBzSFn3zBU6Zut449wFyoiIu7Gh22onXz/Jjlw5A+
cTcuVR2ivZ5AhYp9YBzY0E0UNkBCxXa5NwQwXOA8PDRjgYEMnsiop0/aBbatpLxAUxeNNQnJuxMz
bthp7bUPBoZegMy2nuYvKgNaqtCtT9etCnGYQuQK8LuPNLFxXtA+CtcduDkuuV4A4DoBdE18dJMx
nUVO56zf+PhjfYl2cUTK1eVDfZd3LgE7o56ACG3iwWyMv/i7NhfrRgDAu5yi1Zfgps4rOje+mB9Y
Ws/+dmkVCAR9FIhXYDWHADAYJ6Y7tPdcW+nWoYUMnp4cTr0zDiZ0rZ9dUwDBbqiJh/jAkbqRfUvX
IDhGEfA1gAsABVi2bT6+9H1/KfZ7AFTsYgY2fJUsYTwftBqp20lwZ8whgfdED/w+YRGN8XBcB6iw
synyqtSA1XIAHDTMwBCuI3acwsCRD3x0sz4N4dC2ewCPAENocnPBy0QNLip94I3ogSUdav9TDbT2
xxAiYnMRKh2maTH1c5Q+0iwIAJFp4W9wHdjGfhoFyDe3OaA88kTy5sJn7ILJoH+76rzotAy+RrAk
OUF/c103BitovItoIL8sg4vXG5Gkbi3Rnly6YhhmsVZZODQQDm+Qfu5mPnv53RQBKVVEbI4XgPtl
lpUUUBuxZ4bhQBXUZPQgJSw6wNpkhGycHMeebCwHrHcDHstMH3v0TddKAsDSbbw5Hrz70BGD+hKD
AuIxE20+H1LaW7dX8hIGWVCSEPwKzHwz7mW4+hsXoHKieXtET/rGz/gR6AfpP4mGtKoKlgno0gtG
QpJt2tKlvep69jRnozJnmLlJcwC/JqmaXiclBW5lCMi1A9T3SvX+BmRRNP81PbAWrPONbIEWqcgI
2GMVxiCKgJqRtU88i2kDiKONvrS0bks+SnOd2cZLyhR+Il/QV6nGoU7pVrA6A+dHDDq/A+Kdvxju
tgukJIEeR1CNr1Ydw64r0hckiFkCwF64CHX/EfxNbA7FFUAZERhNN5F2CpBSf8ahczMwZgV2Xdjq
g6cvYJk/AVuIZAxy0FNAxx1vF2CNsnwGxhvAJeY3B+BBgMpozNiRrcgUsByeUgB6AAGWpMWaO0Cc
oJqJT7NMX5AaPQCBmWZoGppceSclL3iwsA89dmVHoDw3Q9/YD4sF3Gx1qTFXS2+pj0oaaU/MN/jq
utXtwEsscbT5dTol1y2bXH783+ydx5bcSBJl/2X26IEWWyACIVKQmdTc4FBCa42vn4sswUgkOlDF
3k716e5FVdHCHebm5mbP3oujbPpcToEPFo1crHCAbUV7mtwTqBEGPU6gGHRAPULfu3498BLhfaDU
MYgJTb5D8pGkwOpTri0hTLv4JAEL+e4RA89tlECDJmd6jCc2/kMsMfV2I8A3/lPxlfJt5k+h6dKG
bLlwB+uUgPEpKJ+KX0Dbf/RVJXpdl43JnuVWcM7l3uzcYZJpGnSg8ZBJeS3ryvsmhC1KAuvKJZXu
KJmId6kxWDdZ2kuaW6qClx5kza9Ae2RIgAg3zDCRFkRDC/i3G23PqwH1NWCXK2bYk1h1k64FuVu1
IEmkM3Mfr9U+Yf0lt26g38p1zqi6pDLb0h548RKtQWsExnQPWpEp5Z4qWyIyHC+kXxrf5PDMM+Ct
GRV2Waf3ec6kmKqV9OIl+X2T1OM+nfTvTRvcD+pw65fKm8EEmXHqlR5kuKZ4whfRyqw33ijK3n6q
Q6bkk7p9JAX3bqOkBuOmCHH/1s/7Wtn3Qpc85qkXS4BXCiHbS15SjjuoE/TmFp406wBoJJrpSwGe
OkreV/GNogP0CUZOSBDAW9bJuZ2XeSx/r8XmXmYuyJNphgt1GdtZT5va6txQLL5G8ljf9sg72L08
fYqAmhwqQZYo8RjMZcqyGwvDt1TDmDwDmx3kBaHyMeVHkiut/kIljdaPZSl3eTZ+NIP6h+BPg2NY
sfhF1fJzyHDmwzCkgl2NfX+ALGfK3kRxCUrK7EtFf52rLWGaMR+uia4ehRsVyEBlx9UMpBJzA2Xo
mCz/C0hzdqcVuV1VrlfkL0UFrJ5YyUQOaJG9mCJeMgM307TNd7kASNtMNE6+6htcPtETflpVO/Wc
RyFHUo3D4W1FnsipFYowcWPSbOaO+toEjRanPYeXqZ2+ouGfpPVj1SawjBiVENauGuVdtbcAfSIJ
WCua9a3MLOPjGHS+bMN7IewpPQDZUMeU69Ufi/kOVAJCzGDGdK8I5lxsNbCOr0UQa8I5a8Z5Lki3
QntIIxI5sQQj0Yn5G0mNmxup1+PXaq0YP8NSZOzQz41jmuaaw4mEb70oxG854/W5rYxJd0i5mt4Z
ZtDvjYAcb6w7O/XF+mS07Y80n1Knx2Ncrx0M6Vxkcukwa7knm26sczCYHcUJ2a+UB4amhpTjbkY1
8KQRFiPyNis695Yw9jspGWr/ptbNojg0hhR8L1Mz7O1UNMefpe5H1p4+dtwizxz31qGOiKr3PRpo
52iIveLEbEoX2kAKDOUUKyKItqmV6uEGXEw47OKSt+1eYOjepKAlhpE7aUVc2nT2Tf9cJLxBGV+N
CbJ+3XivJEpXoyN3em89qsF008WaFM/LBOPI+CEdZ55T/COgRmd0qZ/1lfqq4h0TwIqleH56Z8TF
IL0BLRjXLmcfZGvcAx8+Kk+IV6ZnpPwUy14dfYF4HpweTxUGdiW/JKyQG4dfx0ltNdA5/qi91TpR
S/ZVJbaTW4UasLy4YAIBNFowYxkjQ30HJDTLHk1wo9kDw5lh9Y55S80HGzNKfQmAcAYfq6EPTLR5
Qib3E9gsW1Fzjm8lt6L5RY6Q7rotUjDVR8nkmrj36iQLjlmeQwCcVgJMrKyHAjcP9FZyJTHmo7QW
CdFD8gTYJqTFnzxlyIS9X4mC9FOTAICHMxS8qgcp/Rip9aAz4tbsg9R3aiVh2DoN1Cj72vpRWR4E
fc7I/Ubkx/ZPOHgt4IH8ispD8zWKp37cC3zh5oNSN+lN2Eia6ZZlqPdMyvZcOI2fWyXJTFz0DrUF
L2UMrFHeKECqxdd5j2CME0j5eOML4KjcmuokEC74X9Id5YS02MEhbPFeVrPJkQbGefbePBBBHVzr
3H4wSQKnSsKdhFGXp71hlQBcPQWAsyGkCljylk1yeFlOnGimXUCBW1kFV1oEJH+vqu2MTfb0eri3
1CQ4tU8jKIwLQakZMRhk2A1UnjrlCREqbF66BT/AUBg89/sxL94ODJnh7lFrfASbEitOIAcRSgWj
Npb7Sp9a/RVSqUaNdEarvQP1GTIho5zKeaRIBhL9TjW68aeQjeYnLinZ2FHvm4ZdQiFivI8TwIZO
VIhf5HJgkqGYKr/YyQWVVQBuDeOasjx54Q3j3eBbn2pR/78w93/kJ3KF//tXyetFXc7+EoRfLgty
f/wLf9XjjP8Q6mkcQ3kPGYU0V7v+rMep+n80Y6asQiHuj7La3+U48z8ahFmQZooi/wBIb/6tv8px
kvkfZZa0sqCvQHHcoL7212/7J+W458U4RAmMWT0axkPIZ+HPWfQjEDrLpD5FkmYqsvCuM33vrddG
7QPPfZ3T2cR7EF/Wg6lWlnNRvfzzl1wWAhdtndky8i2ypuhIiquUAp+XozPNj4pyvh687GcYM5Az
Q//fXbexhEe9MLJYnqHGVlvyqLWhuY7vvbPhku9BG4e4YOmUJ92tDtZuPPyGVSoskmzOFVX6hs+X
1nuUFvoCq+NDh7pzf+B+jnZwHuyGn8o5OCb78ah9v25UnjsGF2XVp6VeGl3sJ/UURRAFDaOHdg+O
lQE+kifHo/Lw2XJ4szn5jtGQW+HcPIjH6K5NbS3c/REGnpXnLz/qor21/BFPresL2MdIfSNNdX5E
VppHoUHKBlS9UXM3bHG7rH7aGbqgE0pn9PeiZyOqArODo8KndbwH0HwnFDg/NMdib77ybECEd9Fg
b7VQ1nz20uai6eVrtRansd/bcjdOn0lPi/ucKoDjmVaw0SFaNwW2hGK8BB/KwnOLSQUYn+JDqniI
gVUL0QdR/HbdZ54c8YXPwEhmEp3gPbUWe6j4HtqGLZ+r2ZmHnHkrJ96n7xgtsXigoxppnE23vym+
pVsCJU/ArKVlLkFSNkWeKQIXTQApHvNceDqYEJEyRsKpZC5rr9vWIdn77pbUy4pfGurcdICGDjGW
ZReRsuI0eCULNasYIqCJ+VXqgdlbiIs3wtqSNHI+AhemwGQ+P/wpGSaYZB0khD06HV7pH/6Q3ww2
wswSB6KJ9NgAeDPzhhQccXyxh0yfImAfQXkT3Uq5LXyTv6R76ZjfxXf6d+PzrXJub8fb8dS9kz8k
h95mTvK6+8x//sU31AFEoZcBxF6hoyNLS2KgyoLAw49anfFLz+3DY1Z+jOrBLuTidogqhIaP1+0t
kT1/GkS9ymLpkPUuzkQNA1ZX9rVu91nDE150YNhxeUXYOTPMg6bYni4/ZDIjq313sGrLZajaDpSe
oRpxb0HA6pUPXXEbKD+GSdxgOlyKsix/3JJ9WvdqtZhyfhzjlIk9uQhInOt3X2FZydzARaTvVfeT
V1zyftjDfv2Qv4bc7Yay5/U9Wv0mOoqakDHNecXiFkgloOG+SismFO+asD3WIsm65dlRPe5UWEWl
/tN1g8ve+R/rvrC48EI5N1smFbCo3kEZITIMf2+5ZmSrhd1LO3ROTvIuoZ68ER8XJ/qF2aUvyK3i
9SHONwzxzLZgdx0kCN5DWVQbbj5v2cLN0X8zCZAAAMlVFnAdU06klLqoYTO4Jj7GBs2fQpAO1YTy
InA35VEZ1Q3sjrpiElszXg7QC+Jpz2OI2JgFhR8T1GztykP9njHF99c/25oF+sQyFFvGTM25iFJK
EKiA+hO+miA6YQK/y1YWtLjA+EAaqessacALmubx4m4xGsR89LLU6GOad7rBZpkpKI5WSDZyjpcu
jyFMAD3QaHovcQ2aZ/mE/BQ/j5iuySLt2HbeJwjYzrXevYPD4pjpw0bsfekTz23O3nmR54BlrOCz
xaZXju8TUz0UvvxK01rGBqhFDPrPf/u1EERjesACA8MI5BLln6DeLtNbQtXTEz/lanyCVmtjRS8d
AhO8T8AH0AvmZnm+ohjWaKbJckqOOgFTQbBhkqYf15ex4hLPbMy/4WLXEjR8kkJGnNSc6T5KUb4d
GloaPYNiG2d2zRKXEv/Bvan0LaLDpDcj+vP08YokEJ0+bO4Z5X/UlbLciLcvDHHf6zygyD8BNYjL
bfNRx+p5L80smv19TP3Jif1pPHSdsSXdqCwSfD4/Y5KzcgPvSYkTtThQYU8/upxnF6F2OBQnpu6P
qRM6/Hefudlr0J8P1n1+no7mrfKA4qFdPYyu4si2fJO9g21oh/ZHddiirn7hN4tfNf/qi2+qAh2g
wlqw00ZgRzCNGaP2r/cYYmxT59Inmr7kzk1oiwXMVY/wtFRvBFqYYZDd+0X+5rp3SvMGPgv0mmaw
t3R2ES8BILU41PWo1FKbJtTvod57NVgaLKTcmer7UQ65OUujOyFl3tu61Fe7ZPSrO4WszJnMMN+4
3F5eqvwUeJ81BPRU1IeMOf5c7GqmximPAh7HM4s845goxzreiSkRJjPddBe61mnrQ27aXFzkigFz
XQm1DN1ye/g27DQXvd2zsY9GXgL+6+hIp+Z4fctfhNF5mbxtGJGecUdLOSqrSmKmWpleBJ1uJ9qP
zlPtCqlCmJfKVPi398RzY8t7XMgzT608jJnhdOMx+ljGHn1RIXJCK3nQ6IQBMSw3AtHL4/Fshdri
0Da6FqSQWuBIEBkMGkkhdBDXN3GOZUu3vdhEbXECm6GSzbJkXaoHagjd35Mv574jDMI5EiOe34X/
IRwkxfaHrSfI8hlHTJqXh/Ab5Kqc0GWlgyaeIIUKZ2LWk5h26T7aCY56GhzRhbfv9C+VhV+YWxyL
sU2DutbZTaUvXTU1nFr4bNJ1ub6hm6tanoRwTGOlYlWNC1UHJaPhJrwz9gyUn1I3e7f1OF33kV+b
uLisSkvowOhgDh66WHkE0HN9PRt//lImM0tFqy7g6rQHP76Ju+kH5E31hp+vR49fnrCs/KgpgySN
hpHOzU7ho7r3aVA6GqRIzCFWTg/FyFH5rTB5YXTh+qXV8q4x8IdqZz6Mex0hiuamuGEQgUdH5YxH
aWP2YnOZyvPA7OWmNUQ6y9Qg5LOHHQiWswaxpp3YklO/lW+E3b8sOv3p9KaJgjLYSyjXnpvs8iQy
soJFoiAO5eNbuQoPXfo7kRh0tTnn7GQYc55zceHEndj2RUplKw4SweHu2U+5t8/G7HMwzvShSRhs
eMzLzInQcWFxcdsWlR4bVit0tiTo0qkrVOMmUGuimFpkb3/jAFyYWoQN6H9Gz6zmsp0KVWjueDBB
Xbewuhh4psnO0Jh+wZE8VkaZe0/FyOko9ZCLTvet1W4YWT3HF0YWvucziDyAb4LFw1fDfQ7GGBBW
JG1Ev62lzL/iwhOypjM98kyoYcyIqaKUdtfMILDx9VcvrYu1zL/iwkplGcioNVhJegEExiFoAlvX
v8HODK8PQK0BWYQtuc31wzuLX2oAmml5LFyuFIGa1q2J0dvK9e/niSmYgL5Dt0tkF2+rg7mxl6tf
7MLgwvEiGtRiSZ3aHpXRlVqK70Px7rrnbZlY3FUwgXZFPWEiHoz7ITLPpVRuVCOWpfY/IpAO+pnn
Ie/P5URdJ3E6qxQb5U/5LPLa4BFC29g1DvVJ2efuPPFVbgSk//Kxfhld+GEH6juLM4zW++okvpuO
uRMe/FvdhlfnYbbYbtUzN9e5cEr4pbu0yTGZ3EofITmUIFBwgT7spnMLhSd8K7fdodj0ks2lLvyy
nepiqCACY6mKq+yk41wvhK5qHz1Gdrzz9uPjdaeZF7JIGeFDoOcnzdJq6lIxp+gDqwJ1N9oi2I02
GYFPqEd0Dj9eN7O2MEgM0f/hVQWA8GkU4OKUyyBEjXJuhGW3Azh5Vzmau8ywDWdyYMZAYdfONhWw
ZodfrO2ZzYXfRFM4DaHJg9SHj/x1o2S+Rjg2wWbEQQECJAgU8R1QG0TRzTwYNoPMqv15yoL+7Hxg
Fk4E9ckYSBlrbp1mJ7mqA0sSEB6VY5MfzBO0hzB+HnQ3dpM7xhk2dnzOeF6s/sL6wpWmVE8HmBig
LB9BGB3NxoxT25simOZ1MFS+Qx0tlPegcPpoV8LL824MgUzearATNfzOKf4gm0P58/rPWvG3eRyF
PjhPWsVYFu5T0IUJkz4UCUqkA+rKrkSVDlPp/oYZCmUmc2lz43wRbr14As9GRc5OFNigEoCArjoW
AigPedowNf9Ry32e9e3nORoKE8ukjK+vGXTPOEHwGwGUEuIjU/XdvgZzcQc0rnLjKMr+3czdHIep
APLW4kqBt1NerK9QRcEUZ6P6AMY5hv5ngGeu3OhkrFzNz6zMDn5xaLVKDWBGBHoWdfA/9Y16TuLo
m6eZPWiV1AB1HO5j1QwdtanKw298wYsVLp5CTVZHdD3hmdI788ZTG0iDv85A9etWVu5M+ESAHqhA
5kl5F0d0iiR0NaCIsyXlPdzCtg9t/3ULqw7PqLtId8ygmLTI2UdTkIpIZg91mFga6xjptWN0n64b
WVsGBXzm9gGzMfC+cIehaKs6G3AHtX7seWD1qrS7bmFtGZcWFq6QSYx4Kz0WMvk9gBBbNb4GaOlc
NzKHpOVRUiS+hKLQy38xlyjKZZsZhTIAVKxoqMBsbmUAeEu7/K0AoWiqKFO1FSVp+UiV4yFBVg/3
CuUWltOHRn3Q1A/Xl7P2VS5tzBH64vgA504kGEFH22gPTPvsvWyrPrFqgdFjblR6HvLSfUWdrn0Y
igwJ+bozybS8pI1PsmrBIjWYUUHSCxVJKVGZQYr1wU6m7MarhgOi8Rs31ZprUTaCo0GTIflZBtBm
gnBWrMzB5t37Shgb0W7GOZCaW0CRl4bo2VE2VnRRhhx2aUgw0bdq5urxaLa7Js9tLUpP0riRI7/c
MawwDA1cEWCWtfSsImS72olSqWfo3avGNLxbGofBxq2zupYLKwvfgu2qHyUT/4Ud8h2cibsSYnFr
TO7/rQuzGFp22jxybb7onox+ALVyw5YFsQSXGVSdtqaEp+tGVtfyy8iSBaGbRVDoCAFLBUDTjNCw
I6fCTGDxW4thuJYWjapx9J+fR+iacyqUhOKwqugOWiSg2v76Ul6mfOwXUD74CfAyIvFzE4E4M0VB
5QSTW/UoheOXfNDfipZ/k+mAvJkPOhpqtZELrDocoqHAmGlz6S9yHcsP6rGSODad/FVKvydB8eX6
qlbKoLgzDSfmOrgQX8SZqY4bVBYV2M/2zCXCpna2nMHRv7W3CiQf4W6LzGkJR8LabJCwwwNdeSlq
Zfo+YNtCprxL16O5ZeCgsEOIcKCK2c8qic5wD9mdu/XUXNnKZ2bnv/8sYqteA2sk5aEBjjgtd4FC
bkS7l3fcvDIwBOBlSH+X+QDTvnmXqGoPe/jrhLgaja0rFm/TcYuWYXUtsgzsWAM0xg3xfC0JJMmI
APDN5La5VUPR8aQtRoaVg8s3+tvEEuhiKMGEzggmgnFytfINWikOU3sbO7ZqhVlxYLMQLdJgfb6Q
SEoZatJ9SO6tdqcJ6SGUZNenhHLdyZ8C8/Psgy9zYWfx8QuIvikNBogtlsziIBzmTyU6OElslAg8
BCZcc1ILw7IXII6asVa0acoaUcua4TFHmWc5+kHTCqinhugxaNuK3iCTsIwJQW/7YRw1KzhWGb3u
yAj0yIljQb+Hf3V4uL6Q1Q9/sY5FmKtCRVQz6HttndRGEumqF//+inu2U7OPXxyTQiKnrSD2tT3/
jtjg+MmmcPfWIhYZLZTEEHnPi6j3ww45mmP4MFMaAeV3vBv5xjpt0bGshxyVAzmTU/GmWrgZnT9m
QVosKuwYHazaKd/lgImOnVPeNl+iY+5Wd8lhq/G5Gg8uzC68Lqnrwh9HzKbWvYhEbZT/KMuSwbGN
W+IJRf3SvX+tb+EWQyH4STQbmncUfjRXN/cBgLmDvmuBA4+n4Q5Cfb7kP5DPnrORF7a5ERFnVgl9
y+5uHSJAOo7AcHun2w2nmOZg6sROOgPCHtrjdf+fA9sLYyZklCZEmCKV+OfeKaclynaKRf8AUqz6
EB8Q0wDdvdklX13UhZ1FCpZ5w4BmMHaaXb+XdsjgfDW4FenKu8JO+nR9USsFNKLThbWFe0ILkBZV
/ac162P0qfoU7gWndaF8P4j1brtkvYKCwCQlDXYR3eYXmGBR9XLE7zCZnDR3vAt2sdO7jBA9bMsT
b9pabOaAJFDfIerKZopO8V05CjMy/7F68HdblbHV++RiWYudrAdB8+Ro3knzmzZ9a6rv8iYgdqWA
rMN/g7w0SssWeKDFsW7MTEQTx/yjHa7RlPypTk62o8mwM1/p1cNMjha92wI7rXrJpdnFIUcwsIv6
HLPmXfJWB3wKHMmB+N1p9rF1kvaivc28uRo5daCDJvSsM/p38e38pAD0CRmurbwyD4rLbGK0g3PP
jt5PgHH3qFS60aH/sNVSWTLP4ZzzHv+yu/iQaVdCDFJht3dER3YCFirsGxstz5141E4bB3AtUF9a
W3xRNWkS9Eax5t2Zhyiyg0/yXjnmB++tfktLZ2/S124gNt1y19WjAaqDLNgECGRai9ILunVqP8Qw
frfnyTXc8uDdBvf/LO9eu3UvTS1yRqEKVNhxOIUpk3eaADN2vKVeLK08kQCI/7UcKKieh+cBgpCq
7Z8C2W7YRZ9AiryJQhf9EdhmmH0fnGEPlcHRr53Aer+5m7NTLG+HS/OL2yGvpM5jOoac9YT0ZnWq
D95OugeyedDO6G3cbPXst5a7OByoX/sjlSbcZp71TWV7ahgkd7UMUDa8821hX/fTOTG6tr7FoQjh
ph/7EHsIzdpp8tWICqeTYl4yZ1HfyDQ3XJORiuffUksZlfRQFLJrzS5O6T4/SI/Be9FtnGDv7a8v
bDlO8cdxv3CcRWxDBeBPx4lO3Sl5kzqNPboQXL7bYrVeDywXlhb5bYi6b1GOLGtU3QKyUKiKqEsc
B2cGkxQHxGeuL23tRrr0yUWyqyK8FMNRMYOZhG9KFT4WWfBQTulmR2rL0CKUqIIwqp7HwobujX6Q
9/HeO3HwpsfyG+pKBnMqOyCFu60N3TK7CCtyadJKkDDbGKe8TXZ5ffSkxLm+iavx+ddHW5Lniilq
oQgAECaTXa34ByF7H3v6jVdMG5n0epCk2TPzg84Dm8+dvtW9dJBC3olp9t2P3qdbyKL13YKtFggJ
RYJlj90TVDUdIhJ1g4DYUaasJwJxtIWlXb+2wdP+ZWdxeK2gFYtJJlKYnyH8CO8Fmy9zMN9azrfy
4+haB/Qg32xdo+ub98voYvMkKFGyPmBx6oDeR6LvNW+LYng997pY2OL4StUIjf/s5Z2LZBAUytJN
d/QPykF05Z1+Ix/7D9ZG8eC/hIxf61oc4VBQhcYy5rC7RyeOGTYYTMRTt5/20bn8sMXWvPqYo6X8
97dbHOQxlpEpszAnvaJwzoB9eD8PtPqfDa7Rxi4/1rmd0aUhEofu1nH+L2H/l/XFeS5adEGCCetz
JM7caOftvs2hOH+1dXtuOelSYaCEsygfQ/ylcyfa6CfpGL7jbKOLtOv2Iq8e39VO2d1vpgl/L3GJ
i8gQ2vWQgplfrP1e/JJ3u8g1d7Ss97Oce2YLm8+SrW+qLjIFH4UrNCvY1UJx9DNa9g46McKj/0N9
Tc16/AilhB2c4SCeSK8P14Pn6rGUKbHBrwoeajlRILTQNmQBN5BkIJuGLhtKr/+bhcXqUPSNgzTk
ZaKPgl16lqO0n65bmL3uReZzsYZF5jMIpmAlHRY6d07rumPvCod/8O5fjc8XdhZxUxwsoTDmpx1D
ncx0104Y28krc6faxBf7XYpCyXZKsnq7XRhdxE0UgOuU3hk3t2VX1MODbyiLu+zioa73opvtx5v6
a33cAhquPygv7C5i6QRxcIpo1IyrhTAG4Y099VcEN/rb6IjOkZM4W2/YrZUuIqkodFJQN7hiWIA0
VbL0W2p4nwpZ/OxPxlbY3vL7RRxtDN1HeJPliWfZ0R3paN3raPG4w35+oCMbWXErfrzup+t3xcWe
LsJnRv3USgWMqodBphCXHywnZUgXRdW7f/B+3DgXy8SIYUYLODYbOocyS7zP5J1yC+uMU+zF6NaL
b2nq7hIHQrT3HqRG282c+UV35WA+XScX5WKf/IWpBH5AcJrf6dR27pWDdU7drUnQ1T4VVLd/hbGn
nb+wBLnXNCQROyug5HmgxBnttEf9FkLX/rb5XAaE7d9qVV3aXIQdXSfxVGYXKvcoPgOWfawdhBUd
9Mi/id+Ce3kXu+JmJj+Hy5d7+jR6yNTZS7Uf6FDzOsMqMrVHVLPf+PvUQceJYQtAMps3/vo5+duc
sXy0C2jCC/Mi51pn9sm4SZ4eRb2rmY64i3fCruk3HkXyls3FS10qPAHiW2x2LopoD8NxTq3E2laO
3lMlsnmv/NQYKLD4pvKhPZqv2lN1F2yopKwnOzQiGSydd9pYXFxx1Q0oWfIzkpN/rN4MNq3Pc3uK
ztZpM+vY+KrLHkQ8JZCvzbZ6Z3S4WuwEoQp6xgdlH7/6vTv/18IW91gvwwgqzbVCLXgsDRNR7mbj
zl+/KRnpshAVYSJyEV2jXE6HcCSjQQdj16CXZ9w2yvgbRqg8IgfAxMJcc33+HJMLA8LmAhZgROMg
73ofB8h7ZuXuetBec0aYaWSqENBUMK3w3Ap6nE0Hjg8FQumWO2OXbyZIq6nuhYnlVJofDWoIeyom
OGOqk+wC05YFmM/c5AaF8dnTOQsk25Pd/U4F4tL2chN1OLDkHttD06JhncJRy5MQpfjru7h2mGTR
ZDiCBttMTbDwucoKKxU6wfnlEB47gpbgxCfV9T5sl/nXrllscWaZmheRD1usSWsNpSzaab5mId+Y
E3h9x7NIYg62FxxEJN5uLG5250VMfmZwESmmLDJKxRjniaB2P9ej1eAcPkCAAAli8FU6qK58NA1b
aKCh3kOpu5HDryROsLzDNDRzxGjasu+VGD4wOYgF7dxUv2smWHHhEcLe71G/2UtcOdgzobzOZCog
BgCuz09DrknRTFuFO3YWmmXGo+wjEBj08qtMVo5WZn6Czv8z+jsnPYreJnHysY6ZBwxaqKKTkyTm
6YZjrRxPBqJhH5FZPUDIRXrcarISDy1rbyPPDjzY40ZvkyNnvsmX31cCogb2dsYnvkBZBiW82CEO
9fTGv5XoNhgi9zxN6b18I3rOb0y1kVkw8fqkeScT4p7v8yQGltKZ9exRPDVuPd9JXGuvPYRvp/fy
be76rvkb43uzTe45RKDooS5fvjDSBaExYhMe5lN1al6HZBbFPj0pLFM/bj98V53pwuDi2DQelKnD
hMEkceiy2GIOvaK/4SCrRjSRuXyDAA6Y8flOSrkfS4leUezifdZE2oeZ/FHLlI0zuJJrz/Q3Mq0p
qH/467mZ0gd6JlkzEQ/xTbtpjvGJd9J566ivJbrP7Cxu1kDOYcz3dTS+7yZXhuunY5Si2sP2ikbY
dpK7GloulrW4/aDxjNtC78hxvddx6dkox9qqiaVpM53e2EFzkWnGimWlU4Gp7iOFlz30u24Ar0F8
mImh9Le9q5zHHVLh8n67C70aRX4tc3lj0GKHxWHAdhFAee+pkLU1mrdVqF69mC6cxFw4vFmXrVzS
A+NiYnGSjRjA91mIjPcfAyI7a6sltOUt5sL5xQk5Xb9kXfVeYjfrA1fha30HES+PsEC1tz7i1j7O
f//iGaZDtRqMPQuMhM+6INtes4HkXD3NFx9qERfHAGX0vGNBgTC+TsTE1VNQow3czhtX+nxeX4T8
C0OL8ocHq7uVNhjSEMfm+REekx1dZrArHR+sh8B2rvDu+6+/8+K6POHmIpIEME6nxnwOnkL/DvDt
G5Oeuuja+rE4bL1y1sBvz8wtAsrQFaYER/4c9atb4VY+mDyfo51xD68uMRkuPUCXlSMejTPqK0fp
VP77rgo/gCuO/2FaSl180kGBp7/uekKMYQKh64V3oVW/uf45XzJzkQ1KOm0VpnLART71pi8cU2lL
L+5nv5leETad1AdU2h0F9DluBkAS9a68LdCtYxLuRvlR3WkOLArbFYN1p/r1KxbRVOxnqXjWynH0
DunZv+k/t6pdHNNDB1tC+mm8Hd7nSNmOW6Dx/xII/rYsL4Kr0XuiHs2BIDgB2HTrQ+rA0YKsjQ0y
8WBEtvb2+o6vH9RfBhc5eJVMgoqgWs8Yr+HEzXezCQ9SsAFH3FzWIqCqZhd46YSV6knn8Z4ynjPR
75kcQup9sN88nPMf+DIs/FrWIqDWatgLqMP98QUReTonEvw77U7as4sI2WwkL6vXL/OZ5BQQazBS
8jyehkWaBQiHzNlt+VYy8uNoQmE6aeNuHI3H619srQ3B++yXscVBFNsBTVgBYzLAAerbwccisNsH
IN/7cmc8KGdp3zwoPn2lLUDP6rVhwucHmyCUYMsHTNUJqV7P6Ou6g6JEl+B7LrYC+qqNmYkVnibd
gkfh+VYWUyTk8ET9cfdSJZiOzYf5y4k75Qd6D4UDwnMjsq3GVsgUGH4FnW9Ky3dDrERK6Cm8GzpX
+gaRyI14kM/hcQZJ+bcQ0OzGV7G6q8DxAeJL7ejzVkd5DTohX/6CRXRXB1MbKo2XqXjW3PScc38p
h+CYvtpMTNf299LSIrZJaa0aefT0Rvr8B50ni7SRN3RmOs/kx1aqIV03iPj58w+qjzXoWZOlzblN
ylwHFbP5SVYzQ30C7rYbP2we//l4L48/XTLm3ylq8X+LeINMRtSJ/ZNNtIx38zhvejB3SAidu0P4
ZutyXk0YMYb6D1OmXI6LKNpbOT0YtDls1KyKtzPUNPw8+CClZgrhLnc26+hrAUcGpgun6DysvXxO
R51gkFAxuVy52hvzwfioOqUTuLCytnZRsbszoBaBzE/XY8/qt7wwuzicKkyE3ZSwr2Um1ye1UyoX
Rv5kY6p1DR9ACQ8uQkoFqmUuqxdRoqPr4MM30uy6Xf4IR2Xu6KXt70mwyOqQX4eJ4h/cGmvLu7S7
OIWm0DZV1mC3n7TaFaq4uysYI9hHQP9uxzaUTqiL1HZehNZOFocGRbAUSiqvi9+npdUc2rzKHEuv
M/f6tq9vCLKXEkVaKnPLoJgFgSVIQUBv9q587x/7u1Z3ojdDaneM52vO8MP4MX41vl+3urobF0YX
CS4NTaXOJ4xGBkNRkqtY4v5/s7DYby1uhdhHJQlmy4Ig2xj1XRdm/saFub4O9KWZ/AIMtJQ/FYVJ
SJrW720jE069l//sa+PH9YWsJjiKqTIxb7EV+vIGURqkW/w6JY36InzzfdiZ/X110zmZnZ/q7h9w
+a3lbZcGF1unJn6OBAcGBR7akvU5yJtjPW10X1eNwDg/k7BI8FsvsqikjWKzRPQAzRwXmRSIE98a
kraRO61+HkgnnggYSP0XsVM3JtQSFJzAlPJ91KevUWB8c/3zrK/jl4nFdaDXVZmJBSbQloLxNz8q
vhk4ckM58rqhtbDM/Orfa1lsWBSMhVVZGKqbxJab4VQO54RygVpbv5NSX5qat/XipdR6WaGgUzhf
qyiL72D/ezRhXBnd9hSctVO1JRi7tjRVYdCYyjV/mfMeX9hrADinzACTdQoSsFUVbRXRZeZ0F3db
pcA1U2DVaUBwfzMbt8gYZKWtB00gRdHjn6Jy1lB49iV9H1r+/vrnWk2l8TuSEgry0FAsfA/GyNyv
Yo13ycf0fQK/VWjX4Hoewr2+67+VFWp59vTeeh9TyN3KOleThvm1y9g2fB5QUT3fUV1X0MwZ5kHD
W+zO7DUh4xsCg/UgG/ydtttY7BwSlknRhb3lFO8kCfXM1E20fYh1W/qonwVb2aGMxoBRcxYeksf4
bfKY7LPD75QOLi0vtrmrtG5s0bpCSilFYoDGVbORwq8FkUsLyxPeFxkiT1hQiu42a5VbTRBO1/dv
LYhcmlicbXMsxc6TMGHNxFfBboxfDeHGMlbbb5dGFqfa9/W0Qf1sHqudq1m1HZ/V1xoUNGgkHP63
9SwOdIh27CiYuEMPH7w+1MdIKB51Id86Y/PHveZ282m/CByJV7UIFbGkimkClRGbP2j2TTd42Mz7
1wo3l9u3SFkymo3FUPI07h353JlHybOLxikPwc4AwBN9GXfRUa8PzX1ztzXUtuUeiws5VVE5zudp
3iJxgIo7Sv0+nL5d/2RbXr6MGGUsGyFDw/ZE/0wIR9Ty/lTt/qeqIDOG//9R923NceNY0n9lot/Z
SxK8RuxMxEeyWDfdLcuWXhiyLIMkQIAgwBt+/WbZPbt22WF9M/u0Lx1hu1UQWcDBOSfzZGKyEplM
elL5+AmsR50m1lojzEeafL0uZ6jiE3o9sU//+rPAexzUg69ysj+hWNqqpo1RMokJyv/dqNsscd6a
TP4VZI9rxMdoPMBQ8I7ONoSEG5m2Ke75YDvs0zI8QjU2KXrgMAJU+mW7HtmJKvpW0furzfD9smeb
IVrqLnUnLEvkdAut88yZYW0YvSUy9MvGxffrnG2IAY7IDM5fp8frrggmNvEmoSo97eLNCWtyLyC+
jJbwvGPFeAOToPKtB/3VjgRPAL5IUIPBXX0WRGqMRFnZ4RcYeve+IuE95eaNAPLrdwnzaUxFwxP9
a+r9XfxIZreqgg5xSsHANAzbq8lM+4Cyt2hEp/h9Hqcg1/7f65yFXjGNPsj2eJQTeDw/GZGd1AzG
wi+T47Bk9M1399aDnb27EKwYeC2eAnCzt8u45XB9Jawpfn/Oftl/+f65zuLvOgyGNOCOZM6uuq0f
e8yn1bBVqj+dRrWtBmO5+/D7Jb/KCvzuVZ6dusDr+imYseRU8vvmXZX3Bb0KDsvFcnHq/vTwSM+j
PbQcX3SxQGcuziV2Kib2YCeDL6AFchjc/f53+mWF9v1rODuS09j18NjG74QWDXtGylxG+2Zfr2jS
BGVwnHfdW3f5Wxvq7HCy0cAn08WKy0f/cIKAhyMcoCEKHpTtBv2L7RtPeMpxfvPWz7EDp4mtGyis
9w2Q0nlospPqvFtC+FG86erx1sY6T579iC/SOx3M8Booyd14hw4UNtZcDlFGNifjrLfu9zdOzFdf
re9CQW05jDYEVnSCL9ZnWd/WuYqe/pfv8SzRUwlcschpFbgQbqpDeKxLoIk4LObubbL66Sj87ks7
izqjn1bcORF1UqPYtpsg4NvK+gB7+rGArX3BAv/zG893+sjfLXkWd9ZK6BkiF6jkttVltYV3953e
0k28YXvz3CG3fXse5VSx/W7JsxgES1gzdxOWdA8azkeQNLiQ++kWfuBvRbtfFTnfHfNz3b1pQRgf
e6zk7E4AIjtOIuuWvL0Wp3jeoMkdPsAPGYPAuPUv3yTn/HKHwtPaA4ABlaFzgkIXrCl1a8Swk021
52Z9EGQUO/WNr/CXoeW7ZU6h4LuDAMMxOAVKLHPaov0NcupNdwl8cj/vg09i++/QXmGk/j+PdXYk
PN6lRJ7W867Jy7AHS6ysypYDlBSbt/uwb73EszMRK1+Hw4LVUKBky3wTaQWX+S+/f4e/PHjfPdLZ
KZg64cdwc0Yu7frbQd4aEmdNOMDqHVfi+lZa/csz991qZwdACWTdPuwb0Ut976U7Nr0lA3f6gJ9O
2HcLnF25gHTkYCkWUBBG6nyR6aotJLTHG+ff6QR9vxnOblLJe1f0p5yvDu56mWSh+xi75bC+Odry
632A7B0iHahLzim9vgtxJ9cH2jCV5sJUWQynRG+3QO8luU6/TFfqGuaIb9yib6x5zvFNw8C0Q4D6
R6gOAwLKnd9rl0c5jJvTD7/fgb9sAMHN75/Pd244IfrWWUaC5xvKBQx6tnHgxX0JY+qtLOdP/8Zg
J6inMYRCQJNHNXTWhHG6GQW/10M6ALLqsBnIzHz7xgP9KiwBowA5BMJZcAs8y3gs6xImwwHlCKBF
r+DXrgPSd9Z9BCQVb1U575L5jRb1rzomsH9xUUV+cyc9O8fj7EAxGFa7X7MeP/cy/f7Ex4enwPu3
4O9ffGF4fSFMXhJkAD7+82PYdWoG33l46WFDVrdxeXJckRczaGGn+Yp/vbTCYrDmAmRxMik8N5IS
zjIR42Ox1oor+JSWTcBefv+F/bzZT0vgsgKbwEcJd/Y8CZSoYmiFTlnfPI/sRgRwIHfe6ub+chGI
X0JbOo1OeOyPL00ufQjx0xNU6boPHY9h9G2+aPiZ/v5Zfr748SzfLXN2aSxCrEtksQwBK39OybaP
1dZ0DxG5XoaLtdr/frlf74Xv1jt7d828jOtyeixYPB36stpTDBOfqOsoYoq3tK9OB+fH6P7jw51f
H3pWcDDFYi1GXMjupJgEafU3FZN+vqVOy6AR7mIzeD9pjU9j6zBYmuEsOd1V1dWwBQyT979/cb9e
IwlPzk0wL3PPYoSfwM++gX94RpJLOT3xJHkjOXpjgXP0IIKrufRjLODZtHAwCeyRj79/hF/u6ARS
q3Bfg7B0cPZtLMpRSVBhhTrAmIIqIzJtRs/mv1/l5/oKFHaI7ULc6Vsz7uxKXyonldBuTr/yvCGE
qfO26D9MSFEeoHpxGEXWXjpvFK3fXKR/2Go/rnp+AcZ2WjrY2mPVUcbBx2heXJFkSd2b+JO7xuhh
VdMS1Xs969R9ngWI4ZfWCn98dpm70E9euMDBJjP+4tkbqMpa4BnUCGi4wHYNYwWhYFI/YpS5MduQ
1JU8uKwOl81JFy2EsCiHddprLzvswmSYW9njewwW73XpzNh+iaisukcG8xE01UIRQRsDDWY530dS
sYnkfDaLUw5SxQGGX0fTDDvWpZK+M2D0BpfNGvjdPk3REtx7EGatMmg9RmonaBIck6AW+CDSMPxm
nHZpRtIx0scFVqX9zlshUn7ZRX3N3/cm9B5sP0/gseg0rYuWuMkldegLBEfVB425v2CzesjI8p6q
sclVQ4K7qfXqx0TI9jHgLH2fRLa/jmXAL6D/EB0nM08Q8eWGJFsezCEmbyQXY8Ymnd6Hlbsmee/U
Aclm7cs1s2IevEz5AUgATWMVyDSKz37mtxHMFgaXUrDoPUZ2hNUtcOhW2/q2biNUPLHk+jVtWHjs
wzq69b0RB711+dLmNWTgpn1NmbwU7QK2rgfBRLpJY135HwXHRzS0Sa6pr+z7Xg/9Ts8hXIOEbchl
A+3FC7uCi5snXV9hMt4aSQo5JO5lzySqhQVT5fBFS+T0/iQqGm2XmfpJNmo/+RBCxJFm0N5O+hyT
7uYz3Aj8L2lgEuQPoz8dIHsaPEBR3cKkG6EQk36iae446w14Nk00fI4dZcLC7XzwbfC3xHwQxMoI
4vVQeozmnCSQcOnyGAvpNk9AOVAJrJpdf+mzyh3XyMng0jtjpHlwe7NfHK3pNQdgza8EIOk9d2gz
bxynSkBKa9ImyHyaim0nezCNB+6oLdeBEluhY1B/2pBG+DaQcq05tnlyu8Ru9eCvUZWNtXkIRj7u
zNpg60yNt3GmSW3nftm4Too3IljSFGGl6a6redQVLjPLmuO6wdQFaGLNfu2UW9DKUbem60mapePC
LoSSLs3l6NfHpUW3K9Mk9oJSQQfSZn5QxfdGirrKHJF4qBiHHp9cMdU9Sz4Gt2vsqSfT4bsonHit
6tsl9Vp7tLHfHA3SlPhxcqemLrlXz8UIzQcvnxDJ4ZOO3244kCb1bBaqhAyw42O82dHO4+9VPWIk
b4oVLBBb3Ys9a+PY3dSTirtcpm6HDd5CWOdAZrq+gzyMR/NkQOgrtSCT3SdrehHEVgxHSglQlcba
WQO5Z9Nd2zifWobf3o58upjihqxXDQqrvvDEoNHymqSNYfapgvQd00bW29F6wxYpKn3oxWqeEofg
/btLb0XhjhM2cCofU5yfvardVm0GB9IvOybMsJbQul/FgQ/MzntofS38YKJunXcRr+OPnGAG4bar
4fqzr1MF+b1gTMUVB+99D12ANWdptI6XzVQJDAA7yvUKGD5MyYUEzu5kFImd2LshxPUeajZCKKQx
M8WvM9l500wrry6ID65VCWGgrr+J7aC6A+SLGd+ZmAUXIRwzYuBNrA9Ab/F7TIuHDU1u5saLndzU
PekOTaiTYhh8C6poQF3Nykp7dMgtU14GMjbdtnjV0ArQoVPda4q9cbG23dDn/aTHV9mO4tDBCeIh
9uYpLZuesvUYu33wokXlxBnGc9EwDxKuXZpFo3HGUnfYEIqAt9RkzKF1tSW9hl4HY6vNLUkSXAlg
YES50iH1MIKne1hykWYJi0FNVbUJCFNHsoihO8qOQGlHnBSoB6ARmBIc+v5B49S8U7VX8QvbNdCD
lVVzEYQihfjIsFasdPx5JRfTaDwvq3gwQDEU99HHKFSEl2PXrFUheTdAwGdR9LMlnVvvcOtjoFMF
UQ2Yeg70+IFiXv1+lGJM8zGBF9a2JeHIMvC0qkNS2Rl2NwMCaUFGM9W7oO4MOuyDP+Wry9YqT5ra
u2gMkmDssnH4OCdNO+6p8ILoZsYJtRvLXbSgF+9umEm1XZR+V+Ms+7l2EzPlfZjOZReotYY9oDc/
JDUzGTOEgcicAANUcxwbkGeEVNjzxknf4+JJnIcQVFpzTfy1SSBSpFm4sUlF5ZM3EAt3WsW87dxQ
qDYkk1nAAuB8kxBqq22F1r06dsli14ytnLLClcrPJ7/vp5KlTo1NFWCzXoL5Fx0NLvekiJZ5drOF
L7O4C8OBbnjs8ouO8Lg9NC6vMeA/+KvpsqRKYS3SIjxnDsGOu4/ntSpFNzRs67FB850fdZ2XO0St
aCL7tOelmunQ3Ib+AsG02Fui95Awdvx9ANmLjYGa/FXvWZleJ7MdbjS8fsU+XlZf7SABvhWVbfo9
qnopPoxMz3eJoTT3rXXYzQz3F7qH+EEFeZ6ojco11DooXa9f7Y5CVX0syDzSrRi8dIQvNyFfCM66
kzGLEjv3iIr1rYqALORVwrwlV67rVEXXKej9kG6p1muh7DySPFFUywM2ZRRlqR+Z8AZxYRMILj5N
wqte0qV2m2tXjrDhDk3K1wjCfkNKD1QuobkEoyhhmD1q/ZtKt5Of2zEc60tlkbBsJ7xkeoS9dhBu
6j6STdk3vFLF6Jt2zL0x0I+a49reiHBpaMaDtJZlOCMcNN0HUA7nzUJMpcvWizE0tkjVfmC9wHRx
GFncEBxDxyxXcUWPlkziNW6c5F4SiqOqi3jR6hUWOhbjtII5N7GrYRQ0cmRyW0FbXKJO2dpKq1yh
ZZDPnr2PKTxYC8eBAPLDuqy93qqhuQ/blXyu0aIw25hi55bd3CYYFHXwDkgl5GOyiOkkkL0JB30x
DfTAY7OtRmQ5RIgdmeuPpILmcC933GOH2YVnsUgPumJbWcVusS6BXySDfu3m/hJ1dRknzl6NyYE4
Ju+UpBn2xqEbZdkk9Nn4EdokQhybdlqOrB3fqa7b95zdGys2HTIcIdiYV7S7MVW/a5D3Zu4A8Qw6
XgFhLLsquIzb+oYrtmODsxurpoGdu2kKphacBM+FciK6p7ic0lIGsddjJBZNcd7HY5HqaH5hTVV/
cZyRQDuGr82t9BtoaAb+rBEBuYuf972u2vh80U6ZmmG/DORBOuGKCYS4mIUMYKAw1zAXqoh7YHai
KxxoIIGFhDdVD2wRfEMI016+Mts8SaSqcSmF6z55HOramRqkfi9Nj7yJyRQNqTF4EIFRd5E31XKz
Nl3VZmh1R3YLBQhuj/2YXg7+sp0Xp0n2xNcnYVNUgM5OxSw0JSwKvf7CeLWQhUmFalA4QZl7Ajer
KqhnvZvIgTx+Dk9f+dxCLT9GEK+QAhcp5LLTy9kmyKZbYpF3TXSBcHYNq/ClqBHM3A1rVx/KKKl0
1tK4TZOHU9TJC3SjIp1RzGQvma/9ihUxRkYA6iDh0cW4JCanJlwv02BYrpZBIVWp6aCHjZhaF7L2
U+C/9EPDL0Tnywzhw7/BTKe/bh3eV/5GjhWpS6SM7i0fR+dgVynzVZsgh9sHeajroSmMq+NChZgb
XAJJngQOlgebXkuOGr5er6mZPJiXpdHCN048JDQPvd7uYBeDEznB/ynKxnVo+90QxvVUhJP7Wlvd
w7WwngCzOYnw75JYk2Hv4cau4h4jL1zH3GZ2anl4MSwc6eHEIOUG66jP7sh1ejunGr7BkYiiuhQU
bNUGijf3yFqdKE98O185GobcmZv0iBeV7CGh1zdjlbe4umkBBrTHUVjb2myitNmkSad3aUhwuv1i
HGN1gUB5TVl1U4cKtJsmCopFsWHew0l8nC+7rn1wAFM2F2lF2jIm4a2gpNFFFS2D+wBnmRsaude+
2+KM97ASWHGYRQrzpp2Na55jQMrLO+ZerbZHeHMPEe2UswWanpp9P+okOXSeXki2Og5V137A000K
G8bbfqp6aEPyBONy4czSoqPC2S6JVyXXSCjbcKNc1ty6qMkQCpapOy5KOgtUAiY8EW60xDqZQCiu
9xithxk6rRMld6JiaYLs1oQos5DJJBnMGJz0Fk7biMjIuGGhRSqvNNjC4y3SPx1iexpnM9cCo4ld
I15sOjYYK3GmGmNuPddz0a21GR68NqEYd6MeqFOLSbc2FHwX2KF9wDQeybw2CnEM8N27J9JRqOjH
zhvmO58sablUdjfEq7chqP02qGXcMV/qIC560tawpo4nOFNlRvkt3ce1xiRtDxe24JpiPrpDCMd3
sInpCMNUMQSVjzrU86Epw0mFn43qJm9r9JKTmj5Y+JZdSUfWBoCDlR+mRZJtk8ZxFiLTealk2rR7
J537IF+7yH3XSqGBTMejajMb0JoUkFpCEgb2h4tBptgzZjN33EWSyNtNlzgCQWhMGQyZfcwg3qNy
Q9W/rPF+NRCQKCe9oGgJ2KLi49pOLMlT0TFPXYV0rLsh85iHrN0OVreb0IT84NetKhKKAnpr1rCy
RRsuc7TlXVfDN6tJ1WdwF7ogD2YLTxCYx2m/cPR6bFDGc9TZfU92dA5FuPc8za85+lnJFZljksOc
QBxU0MRmr4MePnrQItNlFzZDiLxu6jLEdg+umY10dvPUCm/DA0++tguSiMyJYO1aNq4070RYtbdh
LCzL0nUx6shlChX/iENTFZEZn+C1m3HyyLGqovvBaZ9mFazwywuTj7Kdw2LqwZEhmt7IxC6YCUPx
RPIKiSLqMDq1IGK6Ig87HXeb2SDrzKpq8t1ypp45Qgliqa9Gf73g9eTZbRMtYZotK3X5B5SSfZol
Nj4kXLUcxhik70t4m605ZX6CTw4Zg/wJmaKt8DjZjCnpj7ztaTGt7In73O4j2CferxZhMBZTmkcu
9R6CWFmSLWgYwqsEJG0aTHdBy+FvyxgMDzcd2j/dQ2OQMT45bYBBMJU0kFqxTjKgJaJ0tG5jxduP
ouLw2mkDsZjPgZnDJySIq9muw+zyjDPmPU9a4lsVgRruY0Z6WBz2EWKg9NHjel+FCNh5R0Cuz8eG
8anEFmbr3WQnB26ahAoDWHns+brkYCW95UX2E4r3tfmWousH56vgJxEEKlJLnXSMs5TcYSK88IJr
D2F/tc23Jul//MDz0//4T/z5RfbrADUPc/bHf1z3r+KdGV5fzeVz/5+nH/3v//UfP/4RP/nXJxfP
5vmHP2yEwVu/HV+H9e5Vj9x8XZO+ytP/+f/7j397/fop92v/+vc/nj8j5BWNNkPzYv7465/2n//+
x0m7/LsW6mmBv/716rnDD377GSP/Vr5+fh2e+c8/+/qszd//cIL4T/TjSIJWN1AJ0NfwNcyv3/4p
+fPke3hyJPTBS0TI+eNvQg6mxo954Z+hi78++d24oEeekAwtx2//Fv0JmzLojsDP8USOh5z8P1/E
zbfu6re3jxfz15//JsbuRjbC6L//gTbojw1/eKulIMCTU3c58HxMeP0ImgTrgKK+C1W+DN6A5NSL
Zv9lmfy2Pp7Go9XnXnRpfOV1gNVadVEl4dZKv/SIPnYUyREL0zaL177g/BEC7KUbuMhOk2OnllJI
eYfS8AINtM3cmA/oAbwMi/SRTTg5GmqvOmkPENcsMO55O/epyiOKYIFLyPGj0hC4plR6LnsSlm46
P/pRtEW/CGxXtLCm5IZxe2HoxPKR2EKO6c3Yh7f10m2GOi2nuUNJhmI+HZwL3Pdb6jdlx6M2ixr3
NWTVO+qQnUhWPxOjuwX+9Tgrb7u23sHH7iFj8E558RXk8jaqDrY6bnYBW3d+xS9Hvuw9H3WMqA4I
BSlibbwVpH+sUSgC2q8OeDMHCc+g9RVFgInufRZvPHBO+/GBmzgfHWkzYoetwMVkjMrZGudJ2u26
Fn+XBlcDBQ8wIqwM1/G9cGvYrc2yGJEJBKLQUNFqxwmSQk/ExeMEB9myIkhU5ji6ZI27UQ7L3WYs
BbJwOn9Z1/e2RbpvnNzR4R59qmLQfibT9RAHKvdMvQ/g9wF0sJD2+aSKUuHOHye5D1R4S9uPWqwF
6e3eeitaBW0WeAfBR7ji3PUuRALmD7RZyiaU2wFfZ3xFoVGqaZzDyi1L0JdYpssYHZ8IymWDi4QD
LyCmm3aoN+4E9MwfdmRycqEeh/kwLPOm09fj+pmGfu7Od2P9UJt3K/sC3blSxhgDJE+gDaOZd3D4
nQ9aFpwUrQNzj6g6RCYpF9jrRRB/yeSa5rVa3vm4ehK3faw8uq3Qyuqi+GKp1OUE7a6grSB9Edal
RmrWRRCiGsI9kPQPsIW9oTa8W5t518C722vaAplG3pvqoaJhwY240lV9WVGz9QjuXHeBDG0flp5O
9jhRe94gotfRPuHDFp5cV1EwbceUlz2rto2/FpVscUl3Bl8cUlDU2M0CHWnGsEnd5DinAPdC/33v
mwOTHsttBPEoSpZ8nVUufHDeUMY2SVtCmdbPJjtsvHS56AK7U6m7TRkuDFXBjB634pYv1TXAjoNf
6W0QVXk3oTGRoJBVjX9JgxQK3KrJuOx3Ne/qLeSecC1wNCwpQWKIyxBOn8QkfmG4IzNEgLuh7pKM
9umGJuq4uv02bCucvubDqvx4v6Tj3hvDF1WDam10tFmj7tlXc7sxAxgBsJ0lGU8kRHc4RkrN+iJD
J0948w5BJ84hyP9gO8UxyxS3kuH+HMcwVxRt5Q/pPCm7mUOWYBw8Ub55chqM/G87C8Bfr+NWp+ol
nYzeOGzuy2RI+R7eYdOpNnjpK+Vkvju1V51KPiPjuV9mn6MmZz2QAbcugrHdS0c1JeOBwPRR233y
hwkynLNBE7i3953EA43oFS7roDN/QNdxrh8QecqB+ptZIFmLWBGmH1FpyAc28AKOUfAWQZoQ2Rz9
bcz9rDj6YUdKaWTpMIMgipwZDzgE/AZW02hmRlMhUu8Lm0y754zsp8Zu+rjSBbqUSFeqHV2mfTU7
l7MfbhqHigxDgbkUziaw6bvB8Y7OiuodYzDHcIZShzfzrGoWv4CY6mPsy0sWzZdoE+5a7WxXuRRS
2C9InvrcQccHAn1oMIZxaYT9LCCShq4gcKxwP07iJmpolDVcvJtdTHLMZJ90w72TVNtIwA/epEjr
OhCYPZZJd+fxNjcRu9LxeEkn+Ox1zuIjIMhdPUKHLe53drVJBtvZl3aFsRtFGeQnn3jj3dKGXVI+
3S5tug9kd8J9HkPP8E3KSbSJaH3tSCTIEojEpgNkkYXTUHsbZO7ppRhCSwrAJO/iuLsMbR8UX+/6
fymjuWxekP3KL+bH9OXHNOj/XN7jBR5A8v/4Zz7xU97z/7pnK8Wz/j7f+fYzf+U7IZITIO0/JDV/
5Tsx+ROZBiZWAeBEKNJPNIe/8h3/T+Qd4PGcRtPguIVZvP9Jd9I/E2jfB+itQn8MJIjkX8p2ghOS
/R3mTOBbSaALF8bIxpCSnc97BzNqrjUJYaMeddNDPWrm2I3obeA/MhL63W5cXOBLxQJfyAXNVtX2
lcV97TjyyRVsnjeRQhQZ9eCYEngnVQWDjGH3xVkj0zx7ioYHlfYTuawFqbrM5Ub111E9a+8IbyC1
3DjoHVM00TzwUnoLjJ1x+HHhFndnIHRTdGd8Wecy6Gc0FLU2BR/mRQLLCxNcnJ5UQ/0kEtdx7hLM
REA7nzr+hkowUUumZRwfx3R1nxw5SnxIDUkpx+vMjqZjWzAGFY3PsSvnkq2Obe4bF23dI9CQ5mtf
FJKaSCw6mWPCDSyeCwdOTPdTZDWKoAnip8BVhnq5BxAtDNjtid+jP9UbL7gSJ9SmXdeh/jTBmRIA
yajMHnep6bZgSaw2QyWEkrut8MQ0symwEWpJ/YHoGRgK8Lf6w8A0qKzAIxxyEGMy0sLQdt0R0cCV
PLOQCUJtIiYNxB4Fcz2PZrzr0A/lz46Lxu1xYV1VXTq9FsG+divf3rXoTG0MrM9piRnWSAFXioEz
0UDY6JYlwKtfFephm0WxpFPmS78avcyFcy7Qv35oPy3+KZMEJkz4A6TQoVaZ8XqVVZVN/dLC5ceb
6QgR+IFPwu1YHrcVnMahAo6+K6GFHzl9az+vk5rQ9EDXKACJNobXAvpgbIn8B0zVxhAaCVsMDcMQ
OjLBU4ptN+JxeUimuy6xxGDAUAfddl2S2NsvkiFzqZ1gqHYpLryTShibmL6dm8aJbh2cLngRejUf
KgBdVWzzYdFre4zcdZabBR0Z4AIhb/Rzy1rXeVRaNcN1GtkpfIxBDljzDr1ffYGSwGIw1Qe9AewG
PUODYYxZVL+oCq0WtEe9MfG/+GOLLplgYD4ZuZIYmkWJwyY0kpopFP2jnBfQodJkqMXlXFdoCfij
A4700vYLmAB1wsdNEPf1vQPCQcYAs9cqQ3eA63etwgDO1sZ2VB9iALxuuRLLs8GwvimiDtdoielI
UL3AcqASzOda+gdXcLTttEqhy9uIWOrcs3bJBooRxByNtzUAHC9syIpeBo668Y1ur1sAGZ3JxRxX
5HkSidO02eJiTPyKpEvVbHlF4ipXI61yOtgh1x6uzDaI+jnMpB7C5QJ4aD8UQcpVn89+tLhA23p+
J2WKWgR4DWwkh0SIXFOttwmaHsFVCPIf/I3ixVy1s4vmOGSjQ/QgvNFZw7ZY0QO4ALoTZ1TXmKpQ
1M2sCljRsX7pL8GHeZpM9JyC8jFd+0PkNmW4pMlUzEnVoNPam3HAtKVLipkvSDYCDqwin8dEDBdt
XTdoSwBTMssNxQDecOkKmUIrdERF+gCNk9ogy+9ki0/giXcB41857bQ3xWj8R9PpMCcS5oDQU4jo
hfTSKdq4+Ep4AfAJrk1I5p3lKdXIvR81aB1IGChrvBygdTs963Hp2nIwbiJuVtL07Q2FI0wJNFaT
6w44FS0jt0V3LfPwSyNmrHRaryKqh0fIkHj0oLgm0QfQaHp1dKd4Jbt+SpAtAyWvn4lkznC5TqPb
XLg2PYFLDITfEc6cYCaCQFlrgEpQA8Leyx0GGt+YY2KunY5d4EQxCARi4OMh4D2Zb4BTEcy400GK
O7I6orsCgmj9J89fa5lPDWBvlbERoxT7tumm8NpXwIVBIPc6yOYGCIG57g1gcKz3us4Tf7QTjwsI
YT2zamDHlFq9i9HIK2ot4puo5bZ5YWiF1v/F3pnsRg5kWfZfes8EZxqXTaePklxjhELaEDEaSeNk
nIzk1/fxqMyqrgJqUcsGOheJRCJC4XKnm71337n3vecbKNM5Nm3XobLHfPRJYVDfzZse4qh0IHEK
/WplDOa+DWZS1XGcywKH4TIEbJLVQlvOrgq2Sl62oo9/Ki9ymTmUJsuXtIuDFfdMxWm1i0FDihN7
UvKSfm1iZlKwyvVHvTIvY8oat19MEMvqYVDbKoB3zDabsysWV38sS+CuEHxt13TPNhO2h8xah4/e
aRHu7HyK+9/cta8ip29PWQrXvkRtuBx917pbHfmGKIJSP63Bxh8M5txj8EvKKaAM83CuYZst6c46
nWu+RzyJfrizlbmUpWaQOdtWGqq12F5DcOli33lrXbinsOaS/NJaCgXOE7UXW8no987MRuxuNXXi
Nl7PLHRiz3gy1iXibqm7dtyF0ELRK0fykH0jeQB90O7ZbEIeouW1ebK1xuEAXxfbGvdx7RX913J0
m3wnxRbcfmwoNyem5A08mrQp7trl62bKiHUM7WRFPAuNY5fDedB+G+/8aCrNVWV+Bl6w1fl46IxR
077Qi+iPU1hO38pcACeha9fOtRGNx+AlnMqrv01Z1EeH3na7x67xremnJ2NVnophLdQu9pchv6ui
cJV3LLCN6lfYl3FNm0nK8YvlZ3P0NZccsaduHYZpJ7JR3HU2K1XO7CWzg3PpElihNn9tz5E/Mxby
omrsXW65smCQW6/9fMhjPsTUrUR3pckkUXhp7L3v6ubdMCR789TsP5Taa07BZJGLDnCGwGA3P4o4
GI+L38G5LF0Zzr/0OqpmZ412OD3M2nMoTxrBo9Hmcu33QVxr82cktrk9bosMmuJICzEemsLkSRtg
LBJ00BpEohsgqg6F5W0ZHWOMZpN02pmhMSudhapIbqt744mGdooefFf2lt6vgAMEt1fV7BEATawu
T5iF2hUQS74Nd1yxxUuoPM+y9ryced7AfINAPkbhEMTRCuJkQndkGAi2IwticF3k++ijYqA++Pt4
csby0y0DS/3T6ff/W4//5XmBB/363/ceb+3P72i3zX9qPv75t/6ltgb/CGOgBqwHbCfnf9Fi/LP7
COx/kJbjQqCzNzpgcSIs77/U1uAfxOiAjAvCom9px7d4jH9XW71/II7bt/9EjF9IJfmf9B+ANf+F
r/btELU18Aidi6HheUH/WW6Vi1dHFUzTrg3AvFpP5OxMAGk5BOjUB1fK7bz4m9sn9SwUxNZiyS+h
J4JHA1z0kg29v48CCMBOlUPaNbI55kX+W8h6e6QrYyAZjTFclKXDO7sLRu4nht37Op6ag12Y+Zud
B9lj29c6dUqvfSiD2fpJw2O+B351aLvgaY1m+yxCv73T0om/LLX8Rh25fAbK129L1GQvvjO216ab
nA8fAfhDrV3/VAmLIWf2a4qt5t7Vdf9l5BA7ZEvd/pozd2YtTlS6h0U2+jEeoiEdu8C7IzrNTWzU
isRQLyZ9MUZpVEZgpQFfoscqQhI1U6ievEW9Qus4PTzQ1h6yacI6VWbhNaM9Q4ha25RZa/+cN5+R
M5p09OZPHbhIom7bMohU7rYX0+bvinKZsBEV71gEGO3BAn6hHZyTPLRjwtPq+gIueA6r9bEtepmy
QmQ9GpujK85XdViWqtgRWhj7qYlKTvyl3PAYQnvyg+f5XGZTu6+WGW22mkLEwpByYGgdDSuZRfso
K+waGGIMsz1481T9VFpQZkm7YUkpd1N8tpa1fNwmK1lBOZPMEpeR5/KGPRdvQ67qxzkrx6TxVHyS
DidPoHl7KBfX5tAJQfpc47NixFFddGzzmsrPMMF6Z7RQUcFsfnAb1pO/ETfNL+Xk/kkU/kbNr+yD
My7XqnHq90CX+TuXoKQYVmGHtihZcWoPg70zSmWnOY41BzsV/G3aD+26jB7vTFY8WW3dHcPaZYas
8/F9LJt8vwTC28+ii1+gp8lDgO5gwhgfwUi3PcSA/TWoGySdILbSGDzqpOfFZ2Adugczx6hDXjV/
7264CDVq9RCWTNMjg/pIn5Mf2839w5eapDIYJlT0wTkorwePslTxmbnZSle4hYR8d9GnALPa6+LG
63t8YncY8EM2A/bjazWGFvSRr3ZDpAnvEnPFAtnBvgvHJ6iPtGk/YYIO3eJAuUyFb/xkiFR8XNl9
lvjZ+mfR/XNX1c/L2E2XqFyXO2NJa2esaD7rwh7gZhZzamNHpVS8UwLqi7Q/x1Hit5s8UGHWJxuG
5lwOOuSvxS6D4hmsrGmLNNOZd1z1Ut1Vtsx3MAPyLlD98uwGhfnMGE6cNSw1CUlR+2XR/h9V1vZu
WJvm6AvAhaxd1R1YZ/3Rs3ujTWyEij9L15uf05CBPY4bEHo3RO/IwmlrfmFS9EcZ3eNOWmkW7Oag
iNB73ezZ/tltTv1mfEeezEBQLU/ApHYZv1dSUwn2NHihgRzul2UXMBuuYv00+PLcO8B2t180z3Yq
/MgjIFSIkMDbaMfCpJqf5kokJQeiceUjdtPdrNiJzLtbWd+GYU3y/DEIzpVYaO6aJBzztAsH9GyZ
xI1KnWpMOWs5G0CV8z/CfiqaBoWnOuZxtiOj5+ptNfPiKKQ0gB5Z5P0UVqnJ/fc21kfba9J2Ydyu
zGe4VdBvATWPnHeybK/Z2h3yITo5UD9l7CXx7J+HKN+vnncXOGvSWDL1g+IwQpLl3sQXvf6mKu88
DSvNoPfQjfrVFvPnUMZ3DlmCFUExvfJS2tUDPN7O9+R9EPwoW+/J7tnWZ7Adtnx5W+c5Z/kaIOAU
ZwcDhtZ5CDPO2zwtqdhY8RPJz3ru0tJ+Hwi8LjPg9y2H2C5uJJs1VXkytNA6Rb61D5z6/F7KFuc1
0vqhrcvy2CMVJH09rI9+Fx0ogQ8rwMjFpY88GLH9KKpQYfKMhu4hyv0tnYPMXAWVlJ/fgUn/gTYT
0S4gfD7NoMSvGploh6nDgf4t3rQTVnvjiCKx0Iugr5BHTKTtH1HkzldP4+OEJt13szVPu7zMYwry
sMDXFOXUsC6j6G5AmE8LtzjX+UsIEwrKLJkRDFWc2n0TveRLeMyMd6ynjX2AejTLLq7qiqlKvohr
H43zMbej5cH0pdi12zx+Gb0m3OVZ/r5J39rfPGnpwJtuogoyLFeswVqDcef7U/ut0qP8Odx6dJf8
hnE9lpkf0obCvVmVbH73N0zRlrW5FF1fp2LI/I+auf6u1eP2NFS53t9ubEaRQfet+ks5AqTG+wzq
as/22owIR58WrSybu5zX+7vLdYOaX39b/So6qdEXOya6IEFW1F43a9MHr/fU1W2jLm3ypeVOv2qp
7qP89xwWSeD/yElESWzl5vRQqmN9Z79RCvSG/c0ejM1LPPrx4xyYTzMMpPlsGxFZxrg1p2XH4VI4
D6PuRxYocQlRjE9Dsyv+Up7lX+LT/KU/Q1kiEslRDT/t6YaGWn8x0fVGjDJ4wUiBdn9qnS4aH2y2
tcmLmq0m/rXUUzc8i3hYHKa97Da8LMEq7yvDLkfFptsboNr16z7fbOc2Upw1C2iayerAQRqHL8Js
wveuVNmPxl77aQ/oVOvvtAp4BEw8hvwcJJoNBQHEcq+NLS1gHwUqG3aDOJISX5UY9lTx1EhbPs1d
SQpB16IOjQBjYaoKlsHvNVOh32vDsGQXYdjgTPIZxyZhOFrsRRtvYkhruUdNj/rQIvxevDZbkHCD
POBNNxQD2GeylyIfqx8+blFYa5AcWr46+rTLigB1OkrztjBR/yxc4jcTYW9tnyqDVMql0sX3Ym3c
IBFLyNUKiFzoJALfex6sIb5Xk6RqEe2aP7dljMw68LSdhWeJq6IeuaKgiqtcQyQaky34hDZfPDi+
5Tzm3RSe2tKlv1Yq/qUaZDMUydn8FqB8u4Hq7PuQT7wI4Q+8KX493ASjzUZrHdYAcsr02j61w1aw
Pt6u+T8ov+Y/EZ/Ns5kHQWvlk5ccxeZNkNaBdlTH1VG29fImtnp6ZIgzPCh3zVgg4s/DaR5y56yw
B34xyqMide0VQIhyrmeqw48zwmSP/Pu8Ci7l/JnpH6/VFcWd8upu7weLdTcEeXknu9z7kFXmfsii
JoAon/jLS8FrnSv7xMGnX4eFCZE9tE1q2GV09AvmoUp34gizSa/vOxNdRBzzNrBY8SilQtxq6UvP
vDVDItz4lx1PHSJ7xF9eW7EXfVjciaoGWvz7CRjD+bVhokrbEhddCwv5ImPeDwIZljeANbFXmA72
bWh5SNf8mAFPCeI9m5AftzoW13alTOOwiu+p4Lz07wcnjfB2Qz2Joz8jr9ub339rF8lfg3BFYi/b
8fz3T9ubd3t6bK//5q+ZAKBDdENB4HdpPX7Y7eeYuPE+lJr4aOeb0Q+gOxEzPjApCyz8bW8OrUNJ
S+K+OKrY5M/9yoMhNK1JyYPJqdiR+G/z5wyfz76VPFpG8JMzIQEUQVWodHkaTTFUL8iHBEX26FHR
wG/nj/zefGcgJaqQZ2OZEV3mIFBXmy0v5waufy8kd7YaR3MQo4qvKKM8ho1GwmzDFWFVRCUzxwbT
3R2iZRGmQvUhuwgC3hUbIpD0mdncnty119OxdSre+L8tVr3ypOQDn5VUfCTxZL1yNw0nUw58TwYr
zmXi3+YaJOIXFCTMdr/1UVW/hvgIjn4nulM4ivFlimVwypTs3kabGXxcOM6ljH3s2Jy293DC9jd0
/yXhcCtQlGR538Ru/1NHsT4NAIfXETH/YMkYOKMngPvg5HAtbTs5LPNqgru1suyvfoOLy/dq2DVH
sUUUtPN1XnvrrS6hYvIMOxQGjCrfEPeCn41T3ilpnbGfJeQuER3uLhdXr+49tsPpxHWpTmGs8lOU
GebToe/c4xXAHCKSzfUwy7jyYZna156JyH7THvFTOGmfl3ldaaqaft5ZC1UxT+OS6hjtDoV423tR
0z64eCx+zKYLYFoiwRYrhlah0+nD6mxi3631kA5ZUzIKMCPwtSXqO7bxiPvJEvqg51YfbA2cM0DS
NmGdn2z07520rXMr3PwqCu2kk1b2SVkFUqXm827W2LxWw7w94LP0Xoaitdc9m16ry6by7U/HB4K7
rlq+VNxRn/OUgYJu3pTCYFlnUVj63vHrwmbMYHGftF5GCufY2vF9pyG+E3r56iqXEsvLZMfdWwBB
OCVb4GBTF3gif5twUH+UwVKVx3y50sJSU5UgulUssQ171j/JClB1p1dNSSRMFJxMNEuPswoLUYrX
IP8lTV3uOzDbT+wrLRPxCKJ+13l5Me0qLpzPLSum+czNGHEcLyQhO7HBdNfcHFRZ22dfQwqTfrdO
c10kMKpEiPpMn3adLqbuoBYv2JC1VXOPCyFO86knZyTPYvuOzJ/2McfXYidiAE3ibVmo380UwcOK
xfe/2GO8FpAUPiR+CExs9mSGoU5wkHEIq2wrv4O65s/cgNhVAFVsphaeBQJG7YuZTlESVVSqXBOo
tdwbDUAXaaNBpz6GMdSvtLqceXbLTrATSH71Yovbrdc38eoex8Gq0UZnK3+uG0VF1WfLyCSgt/k1
mmyc0hYo/qrkbLOaHL60SEVjlXEqihGnE1qpRwtVeuMLYmH10utCXvHdMl/dxtWfuM5lV+7XLFL4
GiYrTAs95yxV7FsZpZs70yj0U1sfsWFQxQ9W0T3wXcueZNkHXyR4+uM6RcVdW/rTvT2y1U3G0Qvm
Bqc55aHX8JzzwdQJvb5bJ8B2tg9ftfS8C5WFCJAzEjjgPltTf8nq/QpfpxPPMBk7RGMReGxZNvy7
Y7REAUUZ+31TXQceJQtS99VttkhfqkH5WL1MC6pfDC5m0qJy6t/DIutjELZWk8x4xFgSKWrGs1kY
qGPhbMG7uzLXSbFJ4ZuLt9L7aKBUfs+BN/4awtY9V9CrYVp7rjTHyXSq511xinMWBxOzpCpQp8DB
b9hpco13XmeXD7lsBYOVYSmbXV4HUu6DEh/FrlVB9A0oCS90Zxrd7zlScrj9hsREkiRJLErKUkqC
irDF+Tth90qmQ1P2Zs9YjNsMgWS9yeRcGcKzOXkcVb0Ix5uyay2XmDUFpjFyR8KI+oVfq7R2+Wp9
rcLQlT9iKqTqqMfJYR0a9ana5Zw94ipKzSPTcLxusHn47E9+qyqSQ7K5nh5abjhr72h65JsPH7nY
YnBxCWhLGIjmSBYLBH6xw3iZ9XcMDng4uJvY/u1gCb3XcZH/KpbYfKf6Lt+WySmhG00kOa+QmuXJ
Q1tpU1r1vjrrlj0hzzmg1nE0Edsvb1PL4oS/YWlPftD6xWHx8SYwiIl4+aUciglusoqqXTduWZMu
MS6oBPrt2eqHsNlVMshAhbfXQqzLh1hVbR9r25FVEqK7c0CIyV6SbCoDlRB/rpvrumzzkKwM25Bi
cv0cU3I6ybiWw2vLcPAu7zpavTruTYFtI8uqdDbBd5ySDMjM5P9E/OmZzgQYZROIqMZLR2sL21NY
1Mtyjvnu5Ok2hGOHfaHk9zRd1dwxxpfNvrIi97Wbpnnc85TN99TlzjH3UOR26AvCpMFM0ZUMzB+i
VLECM/WrobxsJpi9vZd5MFKZO5jXLpuWnwEOt8cs25zP2Znm06olQ2CHbM5DnkXuVy8APU3WQWEL
jxY3/uHxhhLJFQbTjhcvXjaXkDCOnmg8rXO8/gxQYmFZGZVRnTSWIdMrZCJmM6rAL0pdZIchK4K2
IsvKY01oQbnLurXsk7gMokdlkUxdsDiJlb9QGrxwzo8EA793ibXbfcGtmX+XcKd7WWYNI4eaYt5v
mJSMgfdTuib8UXYddGHG1Joj2Kk/+bJOT9Kb9f1qh/O3wXZlgR3JYTfrjdVc46E+LMMkSyKYKI+S
onW3ifVM1vTetcZYCZOQOY0bslVdjtnzuFbjxWWY9Opky/AGbFoDCADcrImoVPi5bIV59azAfmHh
n/gAytr2DFHm69CY+qUOiLiNwn692NXUXh38ZL9D+Mo7Q7X8J4w6OSCfxCOdO3QMHad8yla+CXWZ
0RIHTlt+ojtU2PD5JoON4ILjAwjSotPV/RLgQUY+2/fNsOxyy60PWm7yvm+XeBc7bZXoqgn2Ab5r
ZBkJgte5pbeb4u0DJAG9DKv7txUj2lGL4M4a1JMSLeMw3MgnxBO5H1wWwCSMj9pT4Wt7v2IlSOp8
a96zDsvQCNN7YQw277VjvXja6Z7HblYv0pXZwa8h8ym4r9Iwlio6a/zaOb2T+HATJ2/Igms1VtEH
nHf2uLh+9AesZb3mlSLL3snHNjGt8FKvio/cgbevX/nsRstEh6ziJwDL8XswATpU9jh8D6xJX7K1
wZnrtgTlTdBFNraNB+G2Emmlyw59vvFfTMQ5NgFK6eqWBA+Sdc76kQ3XfbcF91akzIl5LApQIPr+
tDqLST30O46F1nYerN4qyC0I5rfQAcDwOiP201afc+7lpRlOxA59dctuX456vG97Winj+sW1w3/M
HeT1T3hI2S2Yx8MbuZPrhcsyfIp7u+Fcv5X8G8fonU1+BTSIw/BT2TDcOFC5le2iJn5DyvO6KrH3
Ee/2w2pxSdvQio991RZ7mjN9GCtNWcFGt9SYpt+F22glHVD8Y4iOfu8CX1/IXcgfmyhTewz3K0hM
NZw3G0cbS2foSbycBZmVtPDWLbX/QHmOOiXbEc87yRdnt26WD4shN9ixwdzVW9Vj2TfBQaomvvZ1
GN/NKi7udWfJ+9xe6vNUdeIQqghneMaamXOOxQtoxD1NTT0+aGdgPaHV2oudjtr01f3gahtOyZmn
+hWJAwfT6sG6JsWMAc23KoQkrx/hvynZzFs3ttN9IcKSZyek5QnmgEwQzg+pFuTP0vWdZHVMm1R2
7jIxsFzn3mAaJ0Buip6qqmYKks0dzzG96LM9bvF9FNRWzZHpt6ShF7N8rqepO+fhLY9rsJY9m2v0
Oeh09kNERXzd6qX83vc12Jbn0xXryenQlWqJrzGkCk0BUaoX6CX5y2/n5oKjGTR5XTjJ6eGyR2+l
z/JXpzqiYDjvkxjprPuyoYej7zOR66UoRcA4mh5UZO3T36YQBw5dXk2D3PgYPlHmbfPb603+Pnit
OEaTCygmbs8KGdK7Mp4RSAK/uPsrlVBhLD9EWIznyKJvxE9MQ9cX1KhD29EK9uXAi91mNAW/tfN3
36ohj/82qKAE/IWcuYuS6tY7TsgnJeYCHBC37tlzN0GPE9NNh7390wWkqqiLnXZcv9vxZp7DgIOl
wm6e9GFVAGdQSAm2DyE9qQEPl2+9DR6qfGz6r3b0WgysxwxslEEobYnTKM2aVe6aGMTH5Lp9iroV
lLBc+kMfg/CEcxYkkR71pSu96FHmtkhBrnLuuMJaudlacKJIHDcruqwBC3enoiB/uasvfZu16aas
ZUgyPXLQDsp2U9srrO/2KPAHNGK7WvbibpAKkMyFz3rild+vZdnYCad8SVcQBU9efNlASSBY6vx1
DcTyU8Z8pFMNFjLXwNJ0GTyiyBHcTZTxikP5e9s0y5uqN/1KSxbfU9lVL76NLPN3RoZFXTzY4yx/
9cSbMUkrXcSZgBZsXtjiiCuEJwWSqCGWAaHHFzdrXEE40MnnDptSzGJ+9vE/h3n/X7Mn/c0n/O8n
5f/7Z//7/yZ0//7xf47Iw/AffFnp2BiR+y6VDtl8/wHoxhTVLoHsXPv/FgP3rxF59A+WpNn/4Tm6
mZX+fUTu/MPxWWdGnvVfh5P7PxqRR9F/SfH3gtj2UALwRgUsq2A/23+dkEfoP0bat+NCV99JEmRU
w1qVIO1cb24RWydmTWqKyKjqfOZbZVE8QJupC4bz8UnFSn/LdB09dptYkq72rFfQvCKZ2goQfoll
WTDXBfgnksQsB9qI7KR7SrcGh/5zEC/hvvNj5R+daE6zYj4PGGTZrmNZ+r3b1u5b3EaySStP2yQz
VIwio8qvfok1DH7zgI7XkeEf9N3CckO+weq4+Vn2VEUrJwDSWfhAOw2jwmiChomzH3WZmW2FZ3eH
YF/itJ/WI/V+l8AUs6DNp2K+t9Xs3pty6gE915ymslSX0fHCPwEwFKlPfhY/loqOb6icPk9c7Vb3
5Wr5ZAlpeaZ/++J6kT3gfK2zd7cT2X0/haQKlhHfUtm/FWNZ4MbRHm4ThRYCMmxtW/G0Lau6dKuT
v2hVPUHPKVirXl67GeuIX8zDOwhac1pEgUcWJp/UIMjXr0PQZMWOyTrlN9r5kZ0uNnecCrIEC/NX
dqZ16WZWdFx6sZPrVnq/tJb0kmGio8GsKQn7XLhqm6mltLSW0eUg4JrvQpSqCCUBmYXQnqmRGAAC
VRKk47zMa3UJyuZ9pKURXvlUCpaqSDZd7lzF1NVpRmLI/XBMC86zne865XEt2NVdyIrUarl0y4GP
kk7V9qqLHBvmXLWtSQlCIY3dQh8Io7I5+EKdovEMh3G0+jTgojuEi7Xs+og7gAlD82MT7kTWig7s
nZeX8MUr8+PEXzxMUBq1G/fzi9NQzgpyEJkQ7Ho5+LtNdvplJVDrsJFv9mJtWYSCNK5M2Pl9VViV
5PUIAuBiL3zmX2hfrMldUkW8zoFaAcpj7OoTtmQ/0WJuGdhtZnyuKa/FASuihsodFIQ31vY5OFh0
pusF4BlWqf43cGk2Ji6CqyS/IKSeoBzCkaajfECSzGPl+QelZSFwn7l4Ra3U33TeOg+dY1kV05ob
XReO2MQrZUaMU5CixV2I5KycpzIsmrMJNYGFNGVp12uMJd06/xYDg38y9tkiVw/FnVzn9leYb/pL
VocLcVTreu7Rpb6x2gC/lOGyeGIQWe+IBNMvuZ5lneg8H/aTEO0L/WJHC61AJ6Y188AaTXgP5qWo
shxtfWyim+5k5UL8weE8VYtbXe3AUR9VFsW4BbPuR+N28bHvsuhh08NmM4Ih2CNvvfwFDE1DO3aK
lCGtB/k2o3LdhVsfu4cZnJRSdZnZ+TBOobvjX2/3yp/Cq+iy/JW+BxE47GN+/dugWFZOGlVxwzyY
lmy/lX5wKec1PLlWNj6ZjPgwMibePNHrezenN0qgaWhN2XCi6TUq9cL6gnEXaRp7siXcXzRH69dV
gesmVj7oe99znunO83098YUJYW+4w6f6JRq26D6a7HZfFCUjZ2/y3qN2awIKy9qj0G8Cc3GWHgQH
xzLvYzPk/h8iQNy3vovkI4apjaFE2RTvJK4MT7khECzxRyd6tX0yrpAlew4u2QVfm7w9tr3uljRy
8/oIflqmDtOvhqyVMj52hBwk64YBOmHZ2cwIgUA5eDvbGq5Q8USaRJWCqKiZdGwthUGLk1zeohaK
nWz8XJEolm2Pep7cNvV1vO4KF+kjySNTfMos05dlbJYwkS0NTI6bfDc0CEWJLEf/DSdc/L1uyMk6
AGsxqczW4BVuAxJ2s+0nSO7qdctj70K17n83few815EIHpahIqnuVi4B2o5eCg8V/dF0Pkz/SGd7
WqfA3YeAuA+KpuxbYbmBPhaLFV2NF6wH38O5xVl08/ZP63SI1nB4XhxGnbZYgruCZ+Vni5Z8pByy
dcpLDdFRSGwoU3/ovLM9dxPiAuoK4CHTPzf6Ac0hjuDhlHsLY0f+yFxMKW4Qsg4cOFw3bKnVIr9j
6U5AET+H48/QTPLe4bYkJ88T1wadnma1jG1cvmK7zFVgnqNYMU1eLCjQHORo12YeTa8c6xcrdoY9
AzamPn1RTOfRJY5ndATZf73rdb/t2G5PkKjrR2b39YPGWObvOiPFg2qC5oF0M3O4UfzlLq4F7WuV
jeOXGfT51q764mzyoXrPJm7HgFhBrHlWFBxX0RQv69baTzNqw3FycrUXVthfOXq6O0IpltRSrHuy
YzIorLQPyy36Ga+jE577PBTf82jigs8z+2rCiHe1VpW9phQfcCIU699xcUzHmvSANM4ieV3K3HoA
kmbLdQfBzfADYKrG9/vV50t9zHMuNfS5KPug2mclQb09TASZnZa62XmG0BAIUnz+9VDvxOxftO0+
xhil086AxOfZcFGO732N4pntOuSIOO8kAec7LNLlN1Li7B8N8v1+c9T0hVNPX8noEedOyO3J1RG+
CZa/7Zyo/uKE5RW5Ag11iW8Zi7Z6IEhtPAyFd6oaC1nQWuBgFqzAVU6sGqqnHChLGHb6B1ri8eBL
nxZm4v3EopgNd3Ye1keJVnOMkNGxGyz2A8mLBVkUdZtqOtQz32GbrB83P+HvDS+F71c75RT6XWBp
2PWsbtk3obPe98q0l9kWw85zRiSNwQJUJrXqkDl28FqUIUuEBakMK9vJnoxy1seujPP32nSgxbNB
qCKO+BjE1UBcV14e6sZBDggJW5sYPV/Wsp0fwzgqroHAK+CEE87fqJ9ICymT0vHeCs/Za8qDVSiC
FhsG9mNzwdy8LxQLr4mtmo1gnhgnuU3Mcv/Zeb8dNYaP3SxieiO3gRQ0VWswoYQTAlvtZc+OreT7
0NigX+uQEkPze8JW8NH6jbki3FLuOBupRf+HuzPJjhtZs/RWagGFOOgNmDq8dzr7TpzgkBKFvm8M
wJ5yVjvIjdUH6TWUS0U/kTnKmsV7EaTR0BjM/v/e73aQLxVVKhembybakchmf+BMo9NezNJ3V1Tu
u+F3CKPhHCEvU1t+IKjpELpUmpVER0yQiPZCLxvey66q79MGF6N00KgsyMkEWCp9P3ztezzZmVVY
1NN5E5fdiKJd89UnIEv+0iwi/Kl6J9eBGtPJ4vSksFXVyY2aNG1FZ1p5U2mqeJUxVCu/SQFp0x9b
swSki5l0ch2IaI0nKlr4UB7R5Y8JdcisXSnYORal6Ud7NqjISTq1B4Ta6RxwbWsVRF3+raUetsVW
M13mQW97pQ/OR0sym6pDg/gpt7rlXH1hGxc17hHYYQBNKStugCaxe+3jBNuNG+1NJWi2Yai7ty49
yU3N47qzYUzmHdQpvKjD3q5TA2pAYlOn7+yNPRrKnqYy2I0u1RY9UXDQl8AFRXOz3iqol1a9qx2q
QntWevseoNmTEowTnoh5n4lQ1NN95WB0krqvPd74Bq3eilVlMdSUsvywnpaVoo23DRVnkjTicBlF
OG9lXyTrTCnR/QOgTQPuaJ4L7lkMNAQr+LuBdW7VVFW0RD94VAJxKHsoMYbuSI89VcBi2FyZBvsz
Eflo1Sb7knflkkbAzohwGjlhE3itRdm9Nfmq1Vb0FqORXZiy0ddxyX9dAlLSnFL90ibZexllD3bp
Xo0a3KAqSGFyYSci8ENg/6CmuPBnrJiWAXpC0johdt/7wchZJS66L2rjF++d1kHtcRtF2zYK5gvM
OCMGN1wZbs5HIavNl7Z0i0MDv3ZtKLnALVA5m7iN01tQTxjVGxUdf9zed2YQERk10PelRisUp0At
mHX8O0kzxRQX0USxo2+1Z91AnElzNWZRzh+mut/VNY98bOvLEWsJzFrAWhRFQq/xI/SUs/hQgyzg
UAdeaLp/aFPLuQV4F6wrq81BqMbwyhKLalUburuIwg1uuxYYj6GP1BdTcz+FqbqO27zHvj1g6mnJ
nKRAjsZfJO2dbRf1TkGb2JFNuilrh3142F07mXgsYrqiVjclOI98eqopbLHvY7Mr+TmMXWl/300b
R821ZYmT+VCKuEX6C3e/tK/jpuwxa9fDNmgnr+2inW1eyDqb+F0OCA3spA6ct+4ymYZqz1e33+Zo
Su7o3oFqMG11J8G39MSNaNSaNDZ2nuk7+u7vl0b+//Q5u1CzoKd8Zje4LfJv//l/8uj1YyXlXz/3
T7uz+xd9ZVsIR5/B2ZiK/1VNodDiqESLqqpla5YOkv7fhgPxF4x93aEn7dpw6mG4fKimGHgYOIvj
qKeqIjh9/C3Dwc9E+Y+OZ0axLQ2uyxxLB4X3pJwC17POJ0NPlhAu350yLnY2EmRkOsbcveq78qWN
hXoMEvdgproBcxCuGJqJDrGpq33Jq7JlQZiNYQAvSzBaYQ9SNLT2E9hMsK69Ma5LZefiM9xkdpcc
ewR8UFdYVT2JJWPr2hH9904axmOkY79tddt9NVBnrjj9Gl+aiDMbouxiF9XViGhR+M/Ao3EzI9Sz
5tYPHRdLR+gAk8xdZCodjH7InZcaJza7eYFF2EgdaGs6GxbHpM6ZdZq89qu8IQIrkPGL0yIzVNyk
eYpsXVITd8bIYu6GcV+zJowcv3t6DiwlCz7X4rLLLWs5uU7yVuJq1Ok8yGejcqDVWdSKkc6o5Qq/
2WiCS9oXwJPp9CTBrRaDoSwsk32rk71VcPOsLaaE5q2IUXGtHJmL517vUJhHanOkq9xs+iB3PNlx
VUK4lBMeYN/f6HluWG9q1AKKtQP70q1sp1sNrq/IVYeF9KnDo/0lV+hwprGdwcTq/CVI4GbN3o0+
1kK1birggxvRUoRhf9xui9hJ6J00YIRBvB3tgoNPqHP0AQVXh9+TXA7fGt9XHjXFVsGw0TIwVQVH
YO3HV/5goqgXSgM5JRLLjDoaa6cd7hNRXTllfkd/dD9o5QKgHqJa9mt5rnKIHkaTz5NTrfAQd0+j
Uu4Vwbeb0tzWrZAD57qkw5+TuWuBT1+UgzXtc5nfWAn/UoFc0ce0VYN5PWXnPZ/zk3xdm0/O5Hsk
zL46sjzoU7b3m0a7oW33Fe6asknN+BZ+abVxWwF3dpj81dhkdNCrOl6prpujwqOhDo0nQUfLSQxF
LF/rbKyyDbjyEGRNGmgbQRF7jQSnpkw98gVbBI6j0VEPB38RGdIAVcEWPW+mnWtV1jFXSngakes+
cTGS50R3sxsF7RBO9CHB59BTuEy1yaBN2lPvjszY4QnoKc+HRZY9qzJocSngxwTBGHpGIfLrGAve
ruRL+qBThNlYdW1cBmmKQ5e+BZ/JoOkvsS7rewIBlMcJzvQlHO30K+bZF7Jd+YS5IXCDoGuMZw6I
1roESX8Fm9w/xhpqY48abLNDDld+QQqx6nNUKq1WJ55GkWVlxra4scjEOaAD82/IqKl2Zd4PV7qp
lM96Xt2Ptq5ft07X66WXxWaj3NfoQUaotvj2D32MNDDQCmOi4cdZrh41TtPDg9L6T5zUmi/FUDkr
nDXkSwSzjNOiBwQTHrli5NPpmYWAPxSDJh6ZlQpnePMPER/aE45+VvxKWuPcrulQeKp1D9NAH+j8
sL274FgxSyH5D3Gwc8RAtY54tqQNzYJRooN0EjBKnKNXhWvTaprVj0hF0GvWRrpRg7qEVERjKkg0
+Z7E8388N8YKLPNbSdAEwND5h+0RFeeyS22OUFYgyktKa+6e+gOtqgzvLN1jO/YvqLARtYwlxck5
UEjVK3VL+Q6tIAL5JpoHJxzabauHy0ZPtj0i/O3EFms/xEb/wGOq3KCj7rZQY8kTyLERkCaOuVHK
6krkeq96tF5TTr51Sxd4QrdYxo5y0cGKpHGXZP1dnYbRulJ9t6JzmVQXnFCiTTyoctuLRqywO7RL
DPs6mK4+vBKx+RbnLsnQbcAGZgqzb0rYWi9pZNbWsgmA2nCEBH3OhNH4RaW8oiiLajzHupKju6IQ
UTbTKweIIy+SuY3CMb7Wek2sFV+D4zfLZGU1kgGdobZ1fLqxP699gUkp4TjD8S2YNdDMqFyxqx2e
FBhjO0QWSbNWOz345tQmhns0pyyZ+jRCQ/Kp2ACdIiT0MtBN+Nm+1UH1tWk+7iCp8zuR5Od49Lm/
QQfNGTYGG2DTjYZ705/N8eZQhE9SQxospaF/cRTJI4TuftvUDe0sOZoPSeVyBkhy+o9iVsxRVSv3
Qy6GbT5rjQmXKL0eI/u9YWXVnrZ0eCvT0cCuUdLnEsKnu1WPeu2ZsvevzBl6QbwET1NQVah/ZyiG
hFOfbX6+EYjCqY1h5KEJbDAldUIhaxiUs9TYB2MhZq7Gzz+RrUi5omFTPycF7dDYrYNvSCj4m6hp
GasfbXk1Bb9Gzcig89YUCK870SrlMos65/UHdR1FtvmgRrypPPjzWVVmWUpY1PwmyLIZ3mSF0a0I
UFlhMuA49UOIrqr0YEC7ovO253+iY+JvEgM19Q9RrZP2/L5EzoDXnz+lwkfxCuBUVHshX/DPokfT
m3A6Dyx+TYLbQqNv04RMV2uyus097k1+l2dR4RG5on7hhF4gLdKUaqlz6F6FbZ6pK46Nfr5G/JZ7
skLORi3C0Fnf4dcV63ry5RLviSRJoklQM+kKlF+zM/QLYPwcS7CXoVwpMM71pC+s9dR1ru0QSdEi
zEJlNdR42rwYzsnBgGprLoxOmY64D6c7K2pR+0i3nCGRfrMtf2BXRFAVXkYl/2Wqgm4/9oYClGrs
0HEbw4qmLozO0k/EDSQK3BioDdJncNRWsJAByCNMioV8tikiPIqZ81KPkaJ6USGVapdOQuxqQ4mu
ulgtaFdVRvulITrCXLBbQgEsjAmOloxz0J+T6G5daYbjJpOKfV+pRbMM+M9A4mPLo2xpuO9o0eSb
1o7unmJq6CWO/DJw0r2O+p6SIfluGXLjYHiqJqQaVhyLWxlCzfWmKQw3NQCOnc9bx5YqUo1Dm2nO
scxigS2fRoG1cpDvoSt3fEqfolS2rnDii87UgeTLSke93JpGN+tYLaw8XfrYjy7pRlbYHbWmdPZB
GPibhio4qLSyS/FSpkqztDW9WClqQrMq7axtHvOd1OLSfZuQzeFUzGp3j66hdPB3dC66rL4KdXDZ
WrPXZC2veOmHO7/Ty8depce0yPWBTexApZNGA+09vctCr6wLbaGPubIH+EOZxeI7fTlZE7u+yZz2
06A61zxz43EcEApoBYSjRTRmVId9Xc2zZdyoxT6IIvWxKyoL0HfXyX1OY9Bc9WytbsxuEjv85WQi
FAXyMguxEX2iES6sbQ74rkDMrkVHmgHfDC0+ankSamzKwGQsVZOd8wrqivLA/wy+uk5qPNslYLKl
ISfxzbHxYy0MYTlPSera9zye9hEIg3uv+QiOylARN1kSV3sUzeNd5yDCXVDIKXcQzssnH6nYoxL2
7jcd27Qz++bsZKGmRCysi5h1zpr88I3+vk08uJZDFESGXN6XRpSR0GFVyrFzogydqtY0b/6QJxdj
ikC0r0h9V7qmeAOpU3nTKKNj+qNBheKrMt5601f2LauZBx1R32mGKdbTYLtrB6XqcTSkeBdaYXok
hiC9HnPuQS7J3YScSriu6ri3vmVaWySx7pVMhow104z3humwx3RUvgcZrI+FXmbAeqUU6nUF0pnU
v9ytt0FHhcGUqMBFDifO5oeNKLogn+e153dd8HDZWzfxW0+PICTDpisLRK12cTGpAxxZPvULIzKC
jRwxAGjsFg+FMtQUxTTl2mc34E2lA21JUxBGYVK+gcaZbUdVOruserKo5jxz6Wu+oUVK+o+gjQui
lTjtcVJob6ViH7W5tgW98qYrWXCDZIhCg9YTxUkSDTvyQdxIE4HbAuFRu+QjVl74IXUE0JFyFQo2
hKmVN3Ac/OFu8kc8Kak/HGzhZA8NYoGlVqndLfKhCpEH6zVb4thAxOxPe0D56g20iP6CVi1Z8EXw
JnEzXat4mIaFhVIYdIeRXkahCRev0RXHQy2rLROOjaZX1zTz2UljtYLTyE4HJlDs6piXE3SW0FDy
FbCPYVvpsrmyJKz2CR7xt4oQka3mBnJvWSbR2HansENylWPUaM33+WAXQs4fCl6QUj5VEjSPbTc7
u8StnOkVE4AKErw6ZsDlHFizal91rywfOfHCT7J6l8ZaT8E7arcsCEhbMr8zDv0EVmij2yzVh8I1
3ZeZcU6Wjy6ia4rSGJwRT4XEwcwCFT1GCZ+HMxIHFR2fdIU+3DKCK/E+tROeVcMVOdJ5lMLzk2gO
e9YSYzsMg3nr6nHxkmtkoSyEUbqYWGn4KXAq8dG6Q3GRO5nTLkXrOrukM4mSxiFnPTatMN9hk+CK
THqSvOnzgHWCybZPdeyenhv35rCuHY361qiX6nvnhnqH0Jjd8LpltTVQFTnDS5moyWshZM8il3GB
6pHvGaVRpb/TimKAyGHpkGMK5aEvKArQTUXIk/AlIvjdhpycDLFPPLpfXcJ1ClZgEvuNmiCpX0X0
1tKV7k6G6VW40F7GsJdfgmLM7vKejI6Q9/DOpUyeLXp2+o+hNRYJv0+1lmQb9Y5nA3ZgB+KLcJ25
VXeh6JGzGqSL+R8HYmgt7D4ycFh2sD7VYixefHQPDmdqO6CKEcQ3hd2WmHU1pwu9UUEIgZvVue9H
33+h5z2zmdVmqWuivKK3QK4svb4mtbRDHmKvjlzpP2FmQm1UGhVfDPr0cmU2gX9J6jWiPZ9e4ZZg
BPTGSZ2XV4Mhh5tYQeqI63II7orQT+79se2/DSy+lIwpnpPOi/adYIYCngzLQJI/s1owGmEivKBk
3rKqBhZ1xkQrMkJHx2R4G2WQbmPRUSEYJlfdYU3e80qW4Yq0NjfwsMgP9bLqSvUbO+l6a1a4b0q2
6RyPLD0aQLAO7U3Q+CqbE83XHxuWlGPfC2U5BEO411wMXVHT7/Bx2tRWywGWhFWZa54kbW+CTCjR
JwT19UB9i9pnG1xrqq5HlFwhrNml1WER1nFlQ7rDrx5aFqx+R1aXCDAHkuqi+q1T2uBiwpr8HhZh
Unrj2FhXQk35QPZ1pF1ytKqH5dA7EFaiDokA6WGaIMXIzKPDIA13Y6ZjulKHcIneDrzLWLqHiE+/
vurNNr+lZ1KBzyGIJ1vUnE6wNctVEhbKbWGi+VfbAZGPn0QHKkcjqmvU6llwzyJ10yr0QRRcCVZE
1cFOFGM5xqOz1CM7+JY16cMIojXUEvWo5i3CPAFVqjNr44uMfJ1GIYqdrvXtRVhZt7IJd0R8EU/Q
+vueZdvl66Lo4c2kjvQEaPDAn0YOdASYdcXhGEdOgshl0FZZnez8CKu7b5tPYVFtaD7fNw3nRNfp
1rErvyBEOKB0yBF/FsUmJ6rEy8NxPOpNbdKCofoQw8JNUXHXejJtEgsYUpwXNDSIJVrWgWuvlUI0
lxZ8ttmHgSDIbKFfOFn1opU6kAWnbY6N7fs7Ss4TCgOjNreTYscBdq5e/e4CQ77kqWUpMoX/2IfB
9KAXA1UHJUfdrNFYvalJa7lzgpZ+G6AGMmtQJRTmdI8X/CAyArDzHJO3qakqohhpHpLef54ih6J1
oAybZIAGTE8KPIgZxwk99onNaS4IoMzUmq8HJ84QfBVHd2nftCqdfPBePa156S/dTIW5HtZ5dasU
WveNIm1xaYTlsBlCWW8KU3dgHY66x5nPOODzRkJkBM2lrWhIDkDHiru6t7tDEoqJ7eQgvgpQ9Oum
0jVvYGOJE0pV9jmJd5vRLKO1a072m6J12J0It3tuDB1mUEqARB2abKYb1WWTm9hPhhnquHyQKKV5
aK/NUfcJS8YhdNNYsXZplkq30og5WmXSdbbjaANo8gdj3SmG83VG0B+zanRRlLcw3+okvBcoq9/V
wcC2CaegOaalpq5aU8Z7yymsC6nFCCvIFRg2aYjFR2XZWo0J61UDlVHgsC84dIQt5OdYTb4YMSdx
TLPBNeGvzpFzR7rSoiC57gvpfyWlR7mmrkmymdTdGzS6xjXWCOIn2YpuU1+xV5Nt4R6322TvR+aX
AiPiJlc6C3q+DN/joHauRt0Zbw2r4UFKS4UiatQbrxVYR28wSn9XSIhV2aDWd8FIHh4vAX9Q0dZg
acby6JSC2JVJBEtwG86FEipocgEBj0uHU+bS92nEYN2rr1J9jmioJ6kLdsTEfYVBPBVLLBRzuF85
hTTLc40q3DitUYdgl0fCxIKi9W+dr/ew2KJyZRTZRDctZVuim+XRtXvSnodKORD0Fq50G8IVLWB5
GKdA7qglN96PLWqGTnqLsW16GajFsozV+e00V5a7chxWlRrX9+gLqnXhBBvO4fEhlBKgyUxkJusK
HndW++ATjV5bTUrHFQFiI6CD66Tb7kVZUkHMi3YNClw8jPWEP4XgNwxZZnAxZDieqO/Bben53CFn
H2hRtoERPAGQce5shYSPBf6tAmS2iK8wSUeXMWGPJIm6Ut/lvsR9+PfbRf/TlLQsOShZP5HSpq9B
8foLcurnj/yjAWTAjrIM2xYmweHIG8S/iVMGfH9D0MFROa4g4VRB//9TTusAtQWA66LAVU3S22YV
7r/ktOpf/C4b0hS1BbID3L9FvNVoM30E3lLQomllqECvXNMk6fKk/ZP5buJUPnST8rn7jkvNi1bO
LtqlT3LNgeK53PirDxfo+mdn6ZdEgTMD0mUrv77eRnlA/ID2v31/FHGeMmBijwdyfMh9Cgzt57P2
S6bEx0HmX/KhqWXrKgR3C0GyLRAl29pJYG0HXdDAsQTBCRlmoBrfmgBDVR1sP5+LMd+kk4G4gbap
I1oyObKJk4FqMgISf/aWCWlZ4bWK5VauyqiMYKmO9pMK79f0/NoIkisDzICyLIrC2qq5ngTbTsvZ
AztzZuqOXCYnvpUUStWFivZ9o0k6xsigtVWg9hypqGISCDM88EPUGYQiKgwXsqi2HblAL8lUxbdl
BsQFZVy8YSUzVtjHYdJ3DS2ZITeHW1829joDmbctBqQUy0jVFUSJjSpewLO4y6gd5k0Oiip8Icmj
6RbqUoCf2Kk10h9sZW1n7CdFa1h9u2k9jUGjPEgtUvc1uBcMhMoQzadmxT12GCc8yv/ufV2A9qLq
Y1Y7UK+avdIgEmJEaEtnRVenAH4exN+VGOirDBq3WCF2CncVMHl16ceSwgwpSYKApKzk+GZ9DQtZ
L43aF5djKaJvSjXmb6jWs23Za+5LM3A8O5qqq1yA2sXaSPsvf6loLX4vZNM/iiSJj5lEfECOxPhO
dyFflXVjX6OPcdFt3OuKJr5Hle56ObrTozaG9QUV6+5dz8m7IQGpUyV1OispA0S0vUT3bfZ2D3uM
upHaWOOux5Li5eQo3laOAruUBu4NR0hjRShduhwxjmEUCTmUCDXG0RCgWXJKHUhZNbj1ZcAmm4SI
pMDUkynJpC6UjmpZPw3yPbC4P4qhU2dB7AAMBi1G8qhEOmn2okcCWiXCv4c6W763MIjhBrcdOoxO
A49eO/23gOUoWhgxO27CX9eWWZa7ogglWVZpACaDELe0NuReCbp+NyludmgVaz71J8VmCKT94NCZ
fcQ3Ga0SSKIXdRgKVLn66C59La6uyaQXXtDBeBINvUxaYYm4AoBt7B1NzTY0WVGOm65Mv7QjwjuQ
YCB216BPOKZRSH2eOEGsZIzBnM0xitRF0XJkd3s4j2Rxyn2Ij+amGjriCvMClThCZZydiKrt7UR3
k2hI6SIprHTdM+OmfSjDMn9AfGZxYI4s82oYGlj5mQ+4yY4tjTM7JdytSX/rLUgdo/KstCyolSR8
jivdrjzAq9TRErCYxaangjzxkg/a4+BgQNEnJXp33JQ3HxqMcWGayMOsnKo1NUtVQdruLHolqe6Q
yqRfeN9xGU6utUSJpC6olpivWZxX7sI3tejaAirsc3ihkuZJx7K6rWUN+W1iZgPBcVW3IpiX4hF1
6AR03yCUiJJAWK+J7eq2JvtfrzOd6ALciVlf4XErA8oNif2d54E+dWsLm7J77PNt75tyk+mRe+M6
tHGGKNPIVp0a1DW2j34FoLFAOK9Okzf2FmCDthscRIkwa2u333Q4zLtlxq6B0jRdv6/ZOIXXWYMO
EmlU2GE4Dg0Ts60doo/pI7QrtSXlc+Tzf23Yy7fwCiRW897ViTZyAjZtQTLqJJj22Le9bA7eW4gQ
BPN+ACRbbTl/g1cfoDE9JdgCkdQRwrVuM8HtafwgX7eEdl3OXYKVXZgDtkUhqkfpxkbj8fakEjFT
ZKXbNLGqtyi05bdW5CWKIVUmdzQNWVjAqVxgUUg3BizRaaEOdQhtxZrj3YysrfE+Y0aD01oBoglG
wINN8gpzISQzTkmTRakUVeehSdJffOStr4gM5HNKkWgN1Hcc+f1R+gCT7SZORvS1cBeVFWhmm6jL
jgbJroma+KKmbYzL2o60HIuvUxqLEIajtvn8a3XyqeejKAwOYZbQkW867El+/fJ2RW+Nfo94Twz9
uCBp96Ueup+aoP/nh/ePY1jzHsgFZKn+4Ot/+LqLULdTs2KMdMRUV12WsNM+n8UJof/nLD6McALI
rNKiGxqTEZT8i1TkhWtzWumXAGXmFLwz+4hz00GI83GzQiMfNMc8mFUeDfUtHo+fT2b+Y3/dp3BL
/j0Z62T3VRIl1prBPBnHMRfsJA92aONpFreBM20ln1yvGYq7zwc9MykURL9MqhLDgIacQYOCEumg
DzekoZ551n7fgP06sTlV6sNz4BCiWhQqY0RZtjHsPTkoGFGSM7fn3CjGr6OYgqiRfJxnkh+IItnb
4XXul/v/3uWaL+eHqahWOEZFzCBium4nPMpnfr927iE42RGH1AxUVRlJYb3Q94QzkWwPKWMBF91T
vN7Dm+05b2T/OG/BMj1zBc89C/P+9sPkXAtPW4MvatGC0QGzsODzuPj8+p27SSdbZEEgQzulXL8a
nl2eHTN9WGjDl88H0f6wEf/lTTpZFsoEG+lkMhHpORs0Bu1OWwBhAt20QEhWLOx17cX7YHluhfhx
lPjsFT5ZIqgC10h/mV6zb5fxNdSI6jJ8lpdE8ezN+xh8wl1+SfcPbIZ1/fmkz1zZ07NbTfAXyc4M
rakmOwPQUFR3qLuiQRi4lf+VwWjDqq5mzwfXX58UmglCoTDLBRbqAuuDp2IXNPKLz0f54/NIBAxB
Li6HJfPkXTB8+IVFYyJXCW9yTh0+0sDPR/jjg/JhhJMnfibid8iIuGhIty/Zbm7svDvYSjhuNera
nw/2xztk883VKTux1T9ZoIJW6WFLM1hcOLs6uQqTZpf4688H+fM1+/cgJwsUHUmdUj7XDNmLAs1l
9NJOhmcum35iu/353f0wlZM7k/cSIUI335lN4Xjlbrpw15TkhkW8lg+QEZfla3BP+VnzoIZ6aMXk
TjnzcGjnLufJvcO45rcVQVgLOPPX8rv7tbglUmtlXTp38WUKt+Ze38ZnvmTa/A3+7QX/MPGTB7+q
3SKtewa1kZE+S4C/KJhaoRz0Lglv2J/OmC6khoUZY0J13WJbcsDafn6P/zRzqOTCwuIE7MY+ufqG
hN5RZ/Py1iOYwN+YwIaUw3DmUZov4OlcPw5zcoFt9EyZYlCcialDVOjsHQTp2EYXOlzXz2f0x4Xz
41gn1zVH8jXAHubTswwB+V6TJbtKURceMs9epo8u7LtrzATkJy3028/H/tMb83Hok4+FAqqlH5CY
LWBzILergWk4NFP/e4OcfBiqQFcoO8/X0mxeh5Bkp8a//G8NIU62j22nU9tPmEeFcoeE+Z2otZ+X
6m8lCvzPq9qapv7hSv6WU7Zqyv/8D2jxxf+6IzOg+Cjh51M5/+w/6rc6lVigBTQNhOlSdLB4Uv6B
QzC1vyg8zf+3yyfREipr+z/rt5r4C3/tfMiCT/CPsu8/67e69helXdt0sAMQ4ArO4G8J+Oe35MMb
i9TWssEGmTrHLV0jveDXz3KjIhNMRyTQ6kZ+7w7GtdzL1XDR3GLOO0oKVqkX3opHGhabD1fs+ucQ
H0usc/LbpyOfvEQhfTljCif0zw/diowPrwK1sACV/4aUhZ6ydWku5r1rvFLMJRJSPOpn/oL56/nJ
3E/3P3qdmZQW4ecSQv86Dst5xxe9V1/pzbfrbKlAXV6cGfJkgQR9wQ3lEO0Qa0ex3Dx5qYUT6WZf
l7BTjtZzew8oUn0sXqgVIbXxhlV7k2IJdRb5RpxZTc4MfHpS9AHqB37LwPDuvaB51Vr+kbSY0Xr5
fIonX5rTGZ6eDim1GHTTSPZO2wlDmKVwONWzfWBQr/h8JO1kS/FzKAfYIaljuo4/+tdnVxA3RyeW
oVAjrcov2b7fKkdl77/BTD33rJy+J/ONs3klTVelGeMY87P04aBD7qQDWZSxzOPoAVuod/gwts27
cjlQLbMW7eN4n++jK+Pauv98mudGnj9GH0ZOnJiGfcrIw3StGbtMp1lPuRtfNinp5ZnHRGOt+uWd
YDHCGixo6OApQol/ck3BWsuhnteD+Zr6+8aL10SUHax9uQ/WxdPnU5v/9I8v4OlgJ9sFsiRKMx7m
xaeqPSWvvJ6DzudDnO75UGQzIWuOhAR4Apbm5MaFLontdovXvFnJ1Qg511xoFA+9ftEtoZwh+oB2
Fy7IQTj3yPzxUn4Y+eTG0S9BMTPPTnqwTp0D6IhtdDGuCegNntngnltQf3sdTmZ6cutEOFlSnRgv
vMCAvEbKd5/sEFSvz78Ovz2TJ0Od3LjCFKSV1VzUVqqIYeMIXIJS9jbH10y5wuTiHstc6def38vf
lpZfRzVOCk9uN5JTgP56UWk3LiQQYsmWyblBflsoTwaZ7+qH1w0ZtrAzjUEmV3ro4pdA7TvBqaTT
zzyaf5yO4ENO+ihRodbJkznEo0YoFCOl2tPURdRs7iy5+/ySndY1fj7+HwY5eQgnthWVozPIsO4e
wcjG/pqinbmjX7bsL4XjJV8ImQtXGtb9/8rb/e+h7ZP5wSUEsUsNfCFz9ubEWk3y5szs/viKfRji
ZHYykCkionkIXjFI8t70Zl9Xy+6CaPQDoNzPhzu5YbZmq7MiGHmgg0aCMvivj4Zd4oFtAy32bPiX
rRstVRDPyfA3n4vTYYyTXXnktm06RFbs1e0+HWco6M5ERPz5XH47lv6YjOXQRBUmu8nTD1qgKVaU
+3bspdFtsE3XxNyLqxxnhFlc0QQGF/34+Yh/vHqubjnsa01YDSePQ1KD0ElKrl6cxQQCPE7DAHno
3Kp78kn5efE+jHLyRPRt5bBtxjvQ6t3eksbFAHTx84mcrBC/DTFP9MMKYRQjpzLwvJ5rSQ8loTe0
wSIzv2mTXH0+0rnJzH/Jh5EINlAlrLWYeHHthsCoh97UzjwH54aYV/oPQ0QKTNBYzEPQ9dPjl9Y6
c8b809UyNUNXLYMtGmeMXwcgvkKlFwfPlmilpYE6vhU35WATCn5uKudGmheLD1MJRBsHESEDXopQ
2c6frARgAXxax43OfNp/K2bNL4+pGzzELASEPp88ArDskgHvIQDfDbJ34LEhafbfeWmW0E2IF/ke
Xbvf40tiYvfRtbq0D9GyOnz+bJyu7D8eQ3a+vLy4nPmDTp70kFZcBL0+9vILZYtzbiVfC5T0VP1h
DVwoL9MKYeTm7+4yfhv2ZOqyTvDshXHsjfv42lwNW9ezr4qdvkiW9u3nU/zTDf04w5PH3676vGkC
B65yoKCzqFd59WQjtCUu88wNPd32/pwV+BAO70inuKK/PjujEpE/pxJOo11BBV0Xx2DTrsQm8NiX
nj1M/HFeHwY7eVDbKACnB4vcU5sUYBxxsOSujdZNiKLj8yv4Y1H9sMOe54WWiYeDcyxlv9N5gRUY
MTzSOMvSxbRODtUR/88ifiWp1ms3JEueuZDz3f9svJOp1VFT+jlENk8CBW3qdw2cZ125Z0Y5VZ39
Ni3j19uFBMh2fniJmZajbax1s0k24mX4rl6gzliUt+2mO1NB/dP79sulPHnfZOkohqXjXx7/L3vn
lWM5dq7ZufQ7C/Tm9dAcFz4jIs0LkZbee87moodyJ9aLWSUpgnFusEt6azQECEJlKffZhnv/9lv7
1skfVbuAwbmbQyLWyzEJWMvBns5b9W5rB+bPuWJsSLIiqhqZk9dzlUdfgfzDkha/OlfOHMmp9kte
bzTtzkN17LhEKjajM8tGvdlIQ6d1iVubtP8qOgPqcSTKKSOAci2fZDc6ae58+nOm1Bhs7OfFU0Mw
zKRgUUbrbWXx0LYHRZHeYVtaNPkI/LTcZ+K08TFcGoUKPELgmqypqrj6xpMMHhfmcGr7OW3x1iOY
zJ3UbxyTS08DhVAmjqZlLPbi6mi2Cg0TUqsntniKDtkNu2UHbrsz7o3zktAbbWEPYcSxjsXBuIu8
raVceWa/Twu1oEjRGZSNUrHx+rQgbp0YagoCJkemzFCXjo1rEIH2JKauSqji/fvlgvUgq0QPeYY0
eYllvh4NAeSmR5cshSKmP0Ftum7kKd4Y48JtSW+nSCyUIKVmrommsxgrUicyo77uTpGyz+Wvpd+f
uvH5/blcvCs1XaQ0EBtV0ZX1c0N9XD0ggWUrt+j2OIgAPQkP6s68ZceehvNWRO7S2r0cbvVdj2mL
ABMQYxvD7kvQGl9reu3/wymtvmKUjqJxahehjWP4GB3mc78r3dpdbv/Ci7ytKNnFKRmqxjNK2PtN
9lVoRjVD0gh1jfFGEW6jWN04CxcvYeKn/xxhtUdZV8czMqe00/vuIrh+UM7m0fjiCzs4Xs60qJ06
kpvfB566GbtdBax/f1ovx15t2JSEqaRojF38siQHVYFrGrBt9ZEizoBOBrulUsD/pNAgRAWmDSl2
w5e/uLoEjhVdVSAKqKtPe0aXpFZpaeJDyPc+/jQNkxvre3kIQhLycofQPP36e/aTQlLKiSnClMrM
u7z+sXEgL11PGvVH1IpTfGy9yc+PQz91Ct4ArfyDy7ttz4fkBPfKiez2MNqzrT2r+S7xtuosLs7s
xcDrg5NloJEaA6fa+C6bzwV+9cbUlr9h/WK+nNrqeMQ61bx9xAiUth4lh6rEyBVsmAXyTjkJJ/NM
DsWuvb+Q3f/XFXOLhfdy2PUnDmghaqAF2+JU0PLTkN3duEUunnvL5PyDlcaKXB0KHeOjqTo6YqZT
cMi9/hAcUVzeN1sOzaX3eTFXMQEMjfO3ep95t8tU0P3YHj/Fj8DPz2HL6RDcJQ2EhGL2fXyKHNN9
f9su7ZoOghvRcqw3AC2vT/zcypIgFlViz0PsEtDUkJQEkDNumAUXjh8GOI4asT7LoLrx9TBxXRYN
fAlQjdFR6gRbpG3p/YlsjLCWNa8FtAfSUCeZpXwuhSvYl+///W/y7Rw0hQwItZmaIonIfr2ewtTU
che0YoQ4OCVS+Eh7Whzlx52cc/PNVG3Iu+I2clCp2HpW5OVmW31aIMjJvywJUZ3KwNdDJ2glgL6g
6733goN1jp3MHj3Rbez8g2CbV9l1fTae0q9UyzoZyKZr1IXB620EMi4cTzAuqNRzWvD815kRGRaK
ODf0pzb6fGVm6l5Xxg+CL2wcyMvDoKmPM4rgG0D4V1GMrk8JAMKhhHf2XarJifbS0pe1cVrkS8fF
pG3oH8Os7sO8nhNSgAxjSDvxIaMn3tEO4WN9V+3NY35b7HVH2SvPg7xLv1nXwJPs8Rop7s28pCxf
2tsXP2S1tzy4pgq5BALWrXXVegiROYgp8AI1dujlB0HbZY8j6mu7/CZzpkNzoBT6aeuKu+Rksbn/
Wo7VLaoEiLLEIyfMv0bvkWIdEl+O76AZe5apsqciaaSt4N9xl18Nu7oWgrKsw3SZfBUlTj3D+YBl
3Blbget1rn0xXV6Mo4krB2teGhZ6TSFU6ZXH+ip66G6Gh5nLnNvV4c39NXndERHMfEdv5MaBfv+k
oUbx+kDXSRQGkcgcA+lRaD9o1ZZfd+EKfzW55YS9iPvVTUrvDnoJSGfKuzye7FH8HIePanT7/g24
NZHllnoxTkoHbhNNjNPR/F6V1422ccVe/vSRH4AnJ0nkhV4P0Cpzgg4Ej0SK7r/VXpUGUvjRxjN7
eRb/GmR1vxTIlWYtcvm2UHwu8DhUdd64Wy4F09iQfw2xult0+DwSdG9yrfeyjSYwGUmHUKg9OfN1
ft/8G0/ry9FWF0iejKi1zaxaOz8nwrU+PL+/7Vu7sroaUksqG3NZMHSwa+jqnDTU2DYKPZcf+eaF
M5Y6Bo1EtbxOjpgocmjDqLJkaJuU8aNW/vCnH9l0QFt5w1DdGmp1ykIjaUwlYr2olN2l4W3vd3YU
fm0i00arYGOwy2fhxcRWxw2dD5PeaSam7oNDeTufidM9lXigOhk6fXLe36uLh/vFaKuTFwhRGCYW
o3XitV98lfQP7//9l5/NFwOsDltg6mlfIwJqo1hxFE/Zg+pSxOrS0ucO+2qf2ZFdu+iz38GmC3dE
X+zA2340Lx7JF79idSSNqRdmtV6mKe1VHqbJ/GVMlvv+XC+Y/Yr5YpDV2zQ1TamJDYPAsDks8VVt
T7vedkJhuTbfHH1TpNwEmR3KNFbXd4QOCPQdxtFu+yvFmQ+A04/mbnKWlEKwaUxeXLsXw61u8VlD
6HRERc9Ok6s8BGp5Trc+5mX535vR6gtLRigWUwZHQhDzoxj+SuOD0t+EmuFKDVBk6/P7G3XRMqeu
/p8ruPrGIj5kemFZQZhC3nVoZ65xpu422I+nxS5fypL0h8zbiohf/NheDLv62OJgQKK95z0sLR9e
LfoT+UZ70+W9QgCZ0velymtltqSSgARnzF4FhY5C+Tn2+51pPL6/fJctULLgEmkfXt21xR37xFoi
n0TaUgYYX4138626h6zjZS7i26f60J5yYymE9D+oXuYhqBPdbmXzlrVaHxmLrjcNO00Dj7XawhmN
Ohl4HLpeo+4N/SepgQgVIRw1blzIl5b05UCrTUOv3cgKtNPssrUcKNksKWVkH99f0osn8uUoq2ty
avIRZjGjtJ+G02TPjniaXN1WzoI73QEpHJ8Du79GfWNjdpeOpIWugWYiSYC+8GpcveQ+Q+0vIt31
I4m+jvOnjYktl9GbfSKwSSyarmN9XQKSN0M6m4sTvCSe9sM++GLZHdpaOL/0Wm9eVpfinRCDTRFu
moavtjaex3Zq23l5b9rv00k/dXvhJj9rX6bPtSt6NJ/vacR/f4oXD8iLEVfXcTKGUUMNP99ciry1
+lGFgIQq38ZG/U7pvF3If01sdQ2D0Mq00seqatyWWz+/ra9EV3wq9iSB7uMH/1Z0li4Q6a77sB30
WY7Be4Mvx+ilJQ9DKGuWVTVF4TxFwVUgtlCblaNaFQa4IGvD5r5UbPNqG1eftz+oZe+HDDid2qNy
0I/LC4eMAe7s+7t38R5BToIkBsWOtOq+nlmY1VNQhXx4AlCtbEBfDwXLWEcMKJft94e6lIRVqOWx
iNVRGKusg8VzmtPw3mFIxpJgJ/z9uklHeliUnxLZQBl9fJoy5a5EtqCU9dugs9BfAiAUpLdzhajO
+7/m4pf/4ses7rWhyaY2VfkxUvpFqM6Scfef/f2rm2WyAEvRH4V5F0df/dZ6lufo4T8bYmXV5VOe
Ipm6rKeSINL6BA39PxtgZdFFJbwXIrw4GV16nRbQipGneH+Iyze/RnqCzgW0JNb5R12NkbfusH2Q
5HfNffbVXGqInSVhDSyvItgwu0vqaSu+f/HaApKw1GiL1ESt5qbrMYT4gWtLDq+z1HSynjhyLm8Y
JJfv438Ns85Ud40S1EbPMSj89qlCkAqXA82H3I3QEw8KAJATpCRxaK7kxrya9AqPwCocWgR5HmLB
TVUAUOFGYGJj7r9T0i+uMx0Vf01s2VcBlJQ5UeHRVLu+23IcL/py6Pz8Y41/G1IvxmlmhWIxnckP
J3O/WOrlecklarRoBI7277xDLwZbPRAqbKnliGGoQAlGLNgz6wERwWnD8d5au9VTMBhhYXbz8tyJ
7tB0bp599P3Iff+ruDgIJZYSLcZAOazV5RGCqouyuY3toP7uV095hyw2FWPvD3LxBnwxyOr6EAYt
RHafU4Din5tODoyAjftjaxqrbyyJiNPqC/Ohp8S2m+0ofpqQ4Hh/GpdvkH/MwxTXscpE8gMBvjCP
8/X03FA8geb2sXGs/WwriwdKQZbgWZum1sXls0QJ85sQPyUNr19OlLULArBU3cYC4jb0Ikzhlkd9
KQyrLgBc/qPiVKxL9sgMteOosYBpYWojLAtE6ZRiLChsm+OPox/RJIqc3E6KzBn581RTPSvU6MfV
8snWffCipdw1OxJyvTt3KPHCtap4KmYghy1Gwcc6D9qNs3vJdqF6jIpdolOa8qYjZLZov09S9kPe
+/vSy/bzvjrGu9L+N/LbrwZaP+GDkfTwDsFFpbG8M7Rwj4SpsnG86KF7Y/yho0Z1jEVJye809OuN
xtyrBtS8M7vLe8WgFT3XJxcFBUAsTZksKoRFqFQ7HVipaKNcnpyGRkN1E3F3VCLaJgUxgzmHPpI1
oncn5OJ4gJk4PCpJJ59K1Hx3pjBDkjGof/AsyHW/6spMz4XkDwFR1yH+AJ9VuNLiXvYK5D5FG1aj
acfG/ENI4Go1sUgcW0Zq2VVqUUBCXZdv2pYRh1QU93rGEcgb1XDDuKFIpQyUc6WO7U2dI0IUj2Xt
zUJRIxFu6JJtVAggQblRUB7P4FM5YO2QrUUcyj+OWl/fCZOoA13Rrf7ANtd0tPfplxGpXYdWYR4t
JYgQjKqG4tyGlYUipzUYnlGXFhlTtYawORsHQCSGo7RE9usimR8y2RddmCLN9dBYs5uKkm7HiWSe
YuTRvVCw6meoR6QK/RS+QqyEjpCr03lEHP6I6uaE5Lrf7Zb12pmBDvZRSH9SWKx/lCtT34nCoAAM
MBq52UESRQ5x8HVPmayxPOqTMYgH1HDapxrNeXCehWmeJPo5blHSal3oBc0TEUKlgTymCodWTEN3
ZnIwDJD4IfWSZrmXqkaNLHsQQuQAti4qRXrwKWv5rggGvJogFyM45xA0ZeQZLRV1q2nunTJJKwVy
HjxJfQE+I1kmlXxRPwO1V/RvY2qW1k2dmqllF3Jnfkyp3gr3CcyW4DDKMqyBJEnEs46wM3q+lVaA
/0HFXnuOisT/kpsqsVQoqhDRwQ327EQcFL0A6BNjdEaXzUM/NoYrkGaOVU4tQI2JIzIaw8nH0xp3
xlRUn3sBqZYa7Xwno3UCbG0g54ews+ZiN0xKmrktS3quBtm8AUFR3XeNEVDQUgqf+lhI7rOc3Qna
EQID5J5zJ+o5UtVwX5FXq39mVa8+RJH5YSql4NhUUABB6UqHOh5bpx+z+nMmp93dMOaTA+mYpppJ
FaavGhSAr93Qq3fN0MvBF6XJqWQwzJJeBKn+7AdKbvHk0OwBzz6PvLrUU2gd0UBhNdqhB0TQJ2Ru
5dyTxCpluf3slzpb3YkWgMABOKS4ZhouKD9BscdSVq+iBUzRUN5IYk8+s1eYw4gdP0blUHkCOvvX
SYLMm91rxQjKc64Wff+o+hIYIeIYmppGTppp1l4b8QekNkCpP8uuqR4deRMXhl5hVNn4iAwUAmGA
OfvrUEvP6Olpt6FfxZ8EpZFvILGR1yStzXGPZd8uylr+BlI5OVb6PFpOrhVgkiq9rfbxZMhf1Xym
pDYJ/Wfwt2Z7A/px+hpqQ3aWavGgNCG8pxaJBddSpgnGm68fjSZVzx0ZVqLRch7dQwKY3XhUpu/N
JFThDqoqmls9otY7LekaxNAC5UbuautOZ/N2OQwXmDnC/LkI9M5W4FyglGO2Z2kqutOgFwUiqCXI
OCFozSPYTelZ9Evl0Azkb5u5035VAdycRkEdCzXDmtI9GXSrQKlzq+XFx8HUgU30WX6ERZQdeTV1
W5/E9heqe8o+jMBbo3V7qmQiRgVc1wUIO4meYQLwgTUyn2VYxMc2DKwPPQIWqNFFuTskXfkt7mbC
71Jp9j99QATHBiCi7YtCXe1kWaEupyr069Is4Ck0Ygyw3WzaGlwZwMF056ddvkf8VTp0sj7AUYnm
n5oqTXclMimIEaqWy3ZmbtOayqGvEqfPp8JWG7rgACTmyP6NHQWEQSad0fxX4GUhbx4AgOmpWYtL
tKVjsz2pxZT/CNTZTUBoPLdRbtGMmLKsVhHuJyOgb3aM1PBjJeXjsYXqQtVFlyBlDzv2voEb+an1
hTK3m04Q77Ugv0W0TKQ1FdVtp9EE6TMfJ5pDitp9LcsoFbl0Ev1Jy8Pxs5QN1Q7sw3e/Vyc1R1vf
DEtkuUPpKOXmeCwrPhStJzS+iAPcQbnOndFvWrTX85lOskGTPL0swQe2Pwer7fYIyyW/hq4rhJ0a
6vMDeqVF7xR9KntSIEcnyFvtQ681870Zpv5jVjZWs4tUrXN9VSvAMIhfpxQgQhMqxn5KOnhB5qCd
hDCNWrsu829+0YnumJnys14AgYR2kF41wKmdGSHuKyPoDAcVav9rqtGOoQi0imMs3ea9JID/7a8p
dmhAXnb1EXQHWrj6QTHFBS8QIcKd67BHI994iiVfuM6NTL1uy8Q6KVArr8CXN1+njs0IoePcL+/Z
vi3K4YD0OrdEI+UF3aNZd5hz1sQIhgP1e9Ndo6TiyUwm2RtFYiFG3KWnMUhV2wpF84vYNIMt14P/
I6dFDqBQnh6nUhUPVjkjmZ6lvrfUhpwwhzT0hYPo6HN+v1nqIO6FcDCeozyV7H7o6mTHynSHeoJr
nImJuE+EaT5WJsi7RMiK81j1AHUHS0ehPPJKs4poezXU8cfsP0Ei3480SvkI6dD0dZwXzu0EqmuX
S1AHYtlRK/06FJQHocr4/hIAJXDcRqfSNH8Hbwat+gGAbDnJ+X3JlfC971AChHc3XOmCRby84Apz
hpx6PtVPzEMVYsxUYqtez/rcHzCnOi9HTfjU9YL8XCdS+czDqxncyW0JVj3Srnt0S39EqL16gKUL
Z5oyWD9WOpyVSc42fPu33o2Mvjz1JkjimoQulj9/4d3m3TBNZIZSWxZ9bwy5XIqDDO3ufffmrZux
jEIhIoVMmCxrNwOOaTx2ZpDZUvdx4Dgjq/z+ABe8dEagn5T689+lWitHJiiCOi9yMbVrR7TbYzBd
p57lDp7k1uo5Pm1FHC+Uzrweb5nxi3Wb0rJvpYl10/jgdsrVvIudhNYEg0YMFykDuEzeX7XTf0tV
5P9NdChsgaXA8n+WjN4X0X//V/NKcuTP/8tfkiOq9gcSBQh5wP+k1lBenNC/JEc05Q+kPhCMWhqO
4YO+lIyW5D849wRQScCKlJ6I8gvJaAvJaNomF1VGkiswg/+O5Agd8K89MOJzJNtQtVYgh6Il+aZ7
Tg1NoNmBbocGMu100CZ+CaNtBJ9t6IN/M9JBhHFl5Wm3w+xOLJeLZv4V6T0c+caQwh+in9TlXtPi
LjiPljAtBaKxEJ8ScM2tbVYS2Olc0OfsPuIJUe6DEQTEgULP3jr50KjJslX8C0Ko7cG5UzzbF1kk
n6nsw7UATRH+UOvc/IXqXEarRgRXj3cB6OgMuOXU0o/zrTVUUCFBuNS4C7UgPPdKCCtGGEu/3ilT
hkgooLER8yqSBZfwJLVJZW4Zn/SuNa3vPnqpMTSgcqhd7FL8CajRGPZCUBTNAxIaQ30dZ4NGZ7MO
p91uEh893B0vfkTIQOuEZKckkOCKpsgUj4Y2KPCJVIX36iRlKOimqLh9BOFpEtDKusJBxXQeIYua
4M2TZmFVCzO/0lUFmT8VWqBhuwJr93E2AdGlLfLAQl7DDaVyFVSeOvdMa8BqPAf+xP9EKx94XJNV
mn6XJBX/iukPArJSVQxDzi+q+WTJAbZ6rSxvRzHcZJ3e/wzCGZlWxUriI+MndBLFZmh9TENZm1x/
Lhfl/YMeFwCtYWV334dQN+BI4j9cgXqBzKBk6GXbM7QDgA+jQH+GDNetGbK+Oipx4ZMSy/xEArSW
pA+IPcMYUIVkeDSzqMoxLpHinati/AlWHaaFNYmy70pwKz6Aewm+wVoJiKLqvmDc+hOWqyoaV+bY
1KdcbqrHCFVhAiCKhFSY3IlGcgObzzpXhF6uCbtWmWNI5s3Y9eekA6HRap9HDHu0buXB7D2khKNT
izR1vev0oPyhmRXvqAxMg64FHYTVXg2U6tHITeWXVVZhf9OH6W1cluYPwS/7E1VjxY8A9zw5jm0V
hV4rz0mx8xsVQOmurRa93chvbvrYmisXLvgknka56a3hocn4Iq/8TBvvCmpbRU+aAhWcSWIAcUn2
SmXV8zEoDOr/RNidBtq6WWTt8sQXw9MgNJhvMBJQ68DxNKf4Jq8q9ZcyJuGEv1hyKPxyyktPSotj
0VrJuPdHCEmYTEPZelikoDHk0dyJmdAha9xrkQtDvIjd1qj1G6VqzJlgzJTliZ2Ig2+5aPXG56Qt
0oVr4sufYZeNj1Nl9iOkIIjdVyYwSLSOS1mAD86Rxy0RhsfGKPmnJJgCaDVtrHwOBu5J/NWGL4hI
y0JCxF9SICaYve4WwYibalitShwjjhZcejhZUbXX/CQuHVWFXxP0vkTNQZomABTimC8clEtR3SrA
vBb82QJarJOG3ywicp7ZMa599nEISohZSqeU8l6BbtnuMyhP8y6brB6DaSiQZTbU+hhYufwgi0kD
yGxuSlpICuVnTi1b76idXIfHaEyapzKpimyvKXntxFKE+jll7CNIyrYn79xadfQTxTflrM9ir9tq
IorFrgiLn6XSW2B0wuwpiicVxfJZeU7DTrwvO18JvSArfZm0IHiIvar3J0mr06uuV+XvRR+LPWRE
XCK39iHduUQtnkBoaShhmoB/3UyfAIeFGDrjbqzaYn4KzbRhEcsCoYI0nmRELXJZF90o17EYpyBt
wVR2w0hNozYm33BdCtKCVZP6UEMMvX+YSlggdijN0l2syJLv6Al0awqcQsjQQigq5RVsUb31qiDT
hANkQKxWUPZI76gluid3YqbnBoRotTVPFsiUwLM6FLKPAf7rQRygCO6EqgY2tVycM96bZGnmfmpl
P0GdtxqJZXdS+lEGP1idLTMaIBziZx+MVjGJUmkj4LEkHsmJj8kHa2ohO1lGAKe6noOwAy4Ne5Fo
myl9Rh3FKt0QwtetlhVi4YmJhqxTXExt7CYNUBro9hnokEmL7vWeaJY7GaN22xbRIDuDOsv1zigb
8ZtolnBjZUH2PdLyqv/ZHPo4OQSjroKQmQzQllB1aQFNUPwHnBUEP6DHcqsPmtUWjiFXo+oZjaGY
HrGg2ZYitILtHnZ8c89iOvih0z4p2kyy6xTq2E6v2uoEhUxIbiY1S7LTDBUYZXEl4wMKUp6CfcKT
5Ql9zFeEyhXC3QSthMQrRAVImSmQBTOLhueggA8E6lg3akIIAxG0U5HxGiUL7JMOJ8VugvyOthJk
aSeKXIYGcfqiCiFk51QS9Sa8tJb33XSlSqsM8BJlK+i8w3Ne9IfO6vrZtsYop51SVgmTmBrQARsX
wroKgTPHuBOBUd3ns9VWH2La4CZPL6zaGRWTYIKigazbTYM8pLDcOss38r0GOxDFENr9C+OgFNE0
3AumQuE9qYoyOVhyge+BRVF9JFzVlV4jRplrUpgEqxttd8PuwkKLvipSD1QpwQhpiwzqpDXrd3NM
mf+3CMyaDNwzsFBZLYRGh4OpKKyuaPi3IfzDz3Ljazdim6mqnUxlcsbBI2A7MhAfNPpZ51JFMtKN
JfTV5zBlwjP0d38HAczsrhNE4D1ISZV6x/1Wy0SNlAbh2jiMtWdRLnPgNVafWldD1I94seEk9m7c
iNWhyA2tPacFFCVHsOTyIWarpz2fVVPvG8TYUcEF+iR4YHjEc9j4Gcs2ynHZQIycuv5ACS5y+EWr
19/AhBckH8uwcWJFw88tq0SpXC0ootgzCDL9KusMdXXImuJ0tFopAl0AshfksSiJhFHSWm2clshE
4flamGSOryllf1Macxkimx/VN0kT6blDL54c/X7nJZZT5gkpSrM8mGMGzs1IaxHjAgJCjc77grOG
8Gp9mAohiJzAGKpznxpthbB63vanmOAyiVvNhK9hSMOYnfO8yajCN4UmTG8aOevRMCMC7MURSq3J
ztL1yvBSc8ofVKHIHxpDRhEdEdWvcwzuuWrbezEwdPMWx3aIIckuGK5Zkc+S31ntLkE0+Szh/saY
rVJ1Ewl9/VkbQqAHKsHGG5SwotsB5YfQxvBVfnbhyD9oZHHQPwygO+zCCtvvhZ/yQUx5rEzHJhnr
5F5M1OtOjAyRwzdWt5IfNf5hLuqyPvVt3OhuE1tB4KjEiUpXSzUFjU4rJkQi+xKppWAuuvuk5DbQ
OgpMjn6CZO9x1K3Zf+z6QUpuuhDUw66Sq6Y4TuMohFe+rukHKUsi/cAVlpuHRJmDH5OhITlQF81Y
fonJ6Ix82jWv70BF1efGDLgTQI9gQJpxrgQPdcPxdho/X5SXgxjrSuQuC+/atArgkUVZF55DcZjS
TwZhFjsoJTXwYM6UArgMA54jz6Fk7CJAuh/gok7NQZ775HtAwBR0+ChSJau089B6umD0pMc555RN
qUIWCx9i0dDSJYPfnQJ5UgjgtjHhHLUPhI59bvPxg+L7pXBj5s2XIp9rr58I0V1lcWYox9+O3P/3
av+XTNYTh/J/9mqvv9Zf8/C///crLc2//l//cGylPwy0VkSULFT+67f3+g8tTfOP38q2lMlJaLLo
S9nTP7U0/6BfTSGNjHwCDxL53ReOrfjHn8UM/CnFn/Qc/h3Hdq1HSM0L5qQu8ffQ/k8QaVWuGsOJ
tHCG8l3VNaivAMjdiYUQnydV6m2g5jRbpO0nFU1nO2ya+B6W8i8sich5sXJ3f9axvVTWXAWyfv8M
y0LZCbEDlmJdAzbJ5RC3CvzLJsiUQzXXmIJ5D+J2qyVwFctaBlp6AsmZG6yssi6GoYeYjwXzYVcA
uD8Yoj47KD9u9eVfGGWJRxAEloAY0Jj/Or40TIYkNXOd4eJ0oxMROgRmLWw0913aO9SRKXhn85bU
/KpLSSqgc2J4A0TfC9+7feBmtn+oju39dtPXxQkB9FAQDpKXYMvrCUWVVYE+xMpRSiN/1vtMscsS
Zcf3T8FazmDZHYqZJV0nDoQAzLquXqotkbAHMxJP8Y/8aH6NPXHcq47owcSsPEhvwkbx4cWJWSa5
EIKouLrrnRqHINBacEGgYoX9SBTSRu+r2ghwXjjeLB4RLE3jFaJm4vXymTl2J7TADE3p5K7peYnk
8YMUau7767eUy7yoEf29fCaGKNonGmVI6upjzqrSElSL8D6piFzf5XqkfQKSieqbBKj1aQSBChk2
te6CqVE2TuMqQMbYMjcSq4ggCl2v64r0TlaSWhGLnMhSPXmAYtg6EQVQbcjTG1Melaf353rh9DMg
9yqin6wo3dCv17RUhqRsltM/2JLnP6NH64hHYEaP00F9eH+st4eEoZaB0BcQFe7K10MZUV/1gQ64
dh7j/G7WB8vDE90ie7xdQWU59UyFuKVGPeLrUcRUJZrlSzCAJQwM0aqiEjAxFb5VNqlfEkurt/r/
386LEfnkeAMYGK7e6xELFaK4uRx+0NdsXF48dr42Ou8v3tuzzw2lcyrgG3DfrtvEABXlUZzHxQ6T
JrBM4gXf4UN67w9yYe1eDbLM9EVAvzPNRPEn7icD6uO8K5siOpomgYNxNPrjAIj7P5zV8oNeDFjL
2KWCzHEPegloqmrcBCmPZZ8GG9rEF2dGZA8rYSlRXYsgG2WRAy5ust1gNtJnLE3p4JdS8pQQqQH9
1ad/+6pSzEWfWKZjXl8ey9cTm6tGhD2MI6HlNN12oqNE/qdUETfu3fWpIJ6P1hBGDqxCSgwXS+vl
+mGDh7lGBHs3qOnZnAsRkN3Y30wSca33j8Y6uUS9N5YFYCZ8sUXJYG3itLNiQLEiYypb8Xzb1Wr1
PKW54ZHEX+DHvXimhVW+i5qKAKhqFtdTdT3K6U7xxXq/8VuWi/7FDU1F2lLBBMpSI2VHvftq2vIk
5o0UEF+1xhB6XUlMXK2M2q70Sb+Sh3o+Cc0gOGDXiQwUSm0Xplofcm0giy9qWWBneKh4WFQd9AW5
eWCFgQcpYavsb7U9f/7OxfpE8xsJr/WNl0OpB5NJbIHQ5U4Xg7uKDlKp2BJDXT1Yv4dBJgyFJM43
qZzVBSSFRVZOHRiruJqqn1Va4apAI3P1CThyq1fw5KfppzmFWx3Fq69qPfD6q2ojMaoqLWbgtgif
lDCFJ2m1SeWZiYke4Ui8ZEuC89KSGvTJLmY73ezrIes4lzWyKxlFefPjqBpeRB7J8n+8f8IuHTAK
dhH85nzxkqwsDSkdzKSYxAwCg2H+CIOlDiXQk+h7NRC/vqWhQ0tuUr7pxH1/4LfTU7nfQQIYEFox
AZY/f3EhEuVrqgD6+25WQ6Ti42JvBOCkU1HdakxZvpHX3xAj6YyCybFAZlZTFAYf2lrNw7/Ifavo
V0KASWjVXgReBGW3peSxPB1vhsOsIYVINZSyzn6XCDvheyc5Aklpfh+zrjfmSL7hby+fIaPUgaAc
kisW6cpXyyf0PRVvMpTzss++dX1PwkUVn0RivBvX4YV9QgiPCg5YDBiKa4Xjrkho2LC439thAjdS
dP5B84WGqhuzfnh/ThdWjocL8wLVe468vHojjamxJoTCil1voaYc5Jikcbd5p7498eriMegy9Zes
3rr2Wk3zllIYgQBsSWGxrJTNLospcg188XvZEZyMxk/vz2trxNUlrqNG0Kk6eSyUw241iySdphT3
szw+R70ITdjcUri/sGdUXyCsYikY2MS4Xh+OkJrANAKKtwsk1YmJL8lKS9Ve7P79eWFKw/Ul141s
zGpehCGKvsB/2InN/EONUetKVO0XgVWeq2qmQrP+mx0wXMNY1aT1iQtCq+fwv56YMeSKORW8bWWa
/fR7PXK1mBw7TYWC9/7c3l74eF0oOHMKfyuLrl4aMehDuVSISiMevKfG8Fk26e1pfOmcJ9G3vz8W
KGaUh9AMw4ZajZWORhkNFWP5lWzPM1TXnAQY5XPh354URfnAUSUqxi3YHCuPIfajQKgXI9QvAy8L
1WNlKLbsNyBJpI2h3h5BDdXeRRuSkbg+VkP5mkg93v/h7Lx2I0eWbv1EBOjNLcvJttSt9jdEW3qT
9OTTny81/z6joogiNMBgMJgGOiqZmZFhVqwVMaFdzuqfgWbbzkBYFbL5Umx4wtc7hbqLY9mWQ7gr
h5vPz0Q7iSSOe0pBbRkiCQhtpIkQAshs95B0mvpIu8zYUvpaWZ1NBkugQyiKX1xcMJCJg20oJqej
HhyUhULrr91GkDJ5yRb2aG15tE7Izy3oGrnN58tjPzV10shURFR+UxLve6sV4U3fgM8N8CUbacpr
Fwxu0cVluJrOUXSWz4qZNXEblQD+vMG4HUQKYUZj6d8uH/i1z+d5qgF8i9QfjZ/zNeVTMwpA0zm9
ZToYpbPr4+o26reY/pblIXnUCTBcdokAw3VlWfRljNFEhWfWyDj4drYPTt0pOsb91S/bV06MuLN5
yebjvxyeezYJtM5G8sjjbCwHRvWwGdM8AhASl6Ct/bkwhpOlhmBpjOYmKrNIOfGBJQCxT52vytQn
v4LWdr+1TW2FAN2JxfwpiVrIIWrlV9PO1jGAkWxL4e/1kwRDrK1aDpgnnlt1cWnioUBw2CSl6FIL
Zt/SPISi+Nvaw1PW2wNNjGCrdrByjl1myeVngWSPUPN8L0JXJ7H30IJmuNC3nVuN+2latEHS6e0O
gZiINNGiTIGWwWLXg6xP6jwhjIgmbdc2zlEvIYJO/pIyvP22nFmSa34Rw1bAZdPSJkQ3o7EnlAhu
BjvcykfXtsqBDJPXiFISKda5EWpwCroCXu5nDBpEuyQ0i29uNcOSHxowovhhk/TME/EGbrGBrjgD
yFEImlW6+STDCx8+VMLrACIU/hh0n6hbQzg//LnsCVZNQInCZwQmBzfF+eIYYgITLVicnTT6nvZs
vG/KdiMDWDt6jgNbsKnLtvtShETTmCtKWuKUQm/vE/WDo8VXqFvvA/3q8mrWHI7HfbJQ5XSlcNli
OZlHDhro8FqAC+n8NANay0DGUSuuu/kRak4/RrpejKekuI0c2MPLAMLpofT8y79j5atSn9NsWazj
pyxLaF6dj53wHPxeyxRM6Zh/28Ta2LmVj3pmY3HLZpogAjQgOBy1dB4Up/jlOCatcS3YJUH2tulf
6VU9nnicOFEtJNqL75rGiWFCoEMreEqP6mR+bbLiXR1VG5Pd8jefp27SjCdtMDhH7+L8NDoAybpE
JalSzDuwQeASmdV6e0KFBZvAXLUp7ZN5nxsReROBXK2oBJY6tZh4qA6iNaO9nWXJ8fI5WJay/vlu
dBFRxOSVtZc1BEegSalNICRMo1GSA4hG87F3m/iWS+bdekadvQucLAl8nLaHEJ41MWKne8UVxYeP
TdbY7YZvfiYPWX5ilyalQQwPmc+SwtNzMqGXOs4ZBVul+dJZSRvtAFCVuh9Vc4KqZWNnw1XdCWYB
QxQLaoAyVfsQpoPyPVQsoCDVEDJcbMfuaPiQg2ftwSoYuvLrwIKtM6qS3t3PQZonAGvH/q7MNFfs
mPjTUzocvceswphW4a8h6QvjGJpNo+0n5JyQ003V6sZwC+fGqL06efNj4RBxSz4VOXmrLiuYtahn
L4IzyXerX/ZwHzbVxq1/dSNtLrtOTIUgEsH9khhGROns1gVZn13E0Y2oneZrYEctn4GxEIGIR81c
zMYBW7sx5BIQ5tIOxn0vvECeAcVSXJ6IEmzrKT/kp+KLZD6rfftBPybP7FZbBDjLTs7zqSa/pR/L
pC46kfJDvHh2i4rLhegqaYwx9b90m8E+hSFHX8mEdpeDf/BFM0LHl3lkBZDlzAw0aRRIjHmLV2nl
bQZM/sy2TxhLF+b8l7SDBiODgl8ChPOUyypM2in9TtRFcBBD/csSXfB0+ZO/9u22rEwTvBG7kQMv
ku6gzZU5C8gHEq/+2ffuTRUpb+ML4PvaroZEiPQbssa08FCgnBNQehRz59h9gCngJo7UI6prvy6v
ZGUfpR2XzaJEwY1YxBdWrsa8oZQAbWcMd5qRMxeg+WgkXFF0+mNp1a6vhgjwXBP4AJCfZtN5vPwT
ZGZ97o3IuC3idTwS+c5SASLnnpZBzS/Qa+Z/0ng42n36o4+tqzZt+h3RyffSDsB6hcaGa359cc4s
LyUkqc3Po0gIwIvJGPy2U25GhVZGKQe+Lq/x9YHBkpRpYDsZxlnmx2JWBvS7QCYpU+Qehk4zf3bp
5G0OnS8/pfQ+tIFUqclA13qREvdc01xTaNBkbhn+bMCO+kOe1l8uL2ZJyEPhAjMce5k4WhQWFrUS
b7SVpir6wq/30246FPvuE9cv2DvQqvM03NjN5sz+q616NknVhHsuyRPkB37hbgKvryOtTCgwFOD1
optshrHPfWPL//8WhkuDfpzxmCWUYcq9SGgq+VE8X5eZAy7rthyjjSfi1VmQS5FlcDiNCIWX8cCc
BxN0c6B3KsBwJM9I1m298GsmqHvTTiDQply3iKH0TouHWkSUV+eWeC0AGR2XXy+fglUbVA903hxi
enPhoIpa6HEU8ADYenZfezGD9MZgbYQqW0YWC7Eg0o9GRlX8rvGumce9M8sNP7tugTK0QdmKG7Ow
0FqKScuKWMgwgVYWhvGlsswNG2uHF2AHmYBKYRFKiPPDq4mgszMVX56602Hs/iYhCqTCObx9Q+g1
Q5lOek/TY/EolUPr0KGl6lEX2RO193eKQovgso21lZBbAbyhdEmxb3HzaShmSjYQN0e0KjqaszK3
EcyKfNBGmj/7y9Zevex0biwarxZzRcggLnE+YDvq0EREnpPVHHRDOZUdGPqkuq4YHva22DRfn4Rz
a4sDrWvglTWNlrMKK4jafkuNjYduazmLo0adpOxyhxYE+GUHCD9EAiA+3ZvMVYMPYSmUQxnNW5WL
1zsGGxCD95QvKTNR6Ds/e7nNRFtNiY8Wn10z5Ksz6d9/a8eNw/c67gUmQjwkdRXAtukLM2JUG54/
Qr08l5JtrlooDEKPjwASyhm8QFC92TMYyDeQ6IOuIExalmRFwng1sGmKFkocXvWe+TsMkuTq8gFc
ORLMPMpWhywlMNF4/vGcWq9HKKYZBygNJI4CI+2nHY6i3ZrWfZ0kctRNAA/AsLjCr5Jr24mLeAyJ
f8LS0oEJMCySZA7z961x2xrhvimSI+lYD5mycp0naE265jhdtU6kni6vebGTvHsMdZIdg2mi78KB
P1+zJeqO5I7WqahTklU60ep8zOVUtbdxvRdf99mSQ5lGpzhCBX9JJ6bkmtWQQpGEj/EtdKmPbZtv
LGbVhI07BMlrAxFf1CyyOB1LYbIYZ7DulDG4czal7xYXTK4CeIjFC0ILmH7zwkSjz8wswFDoU7M1
dmYYPJRdQpkOmo/LG7MMu54t8dxy7AkfSAsW0Z1N+zytMl71sey1ft87eoIORZ825b6Px/q+hVTo
5Ha9xaxL0ZsfAtMkKQxGSyv3Wh2OT8E0GxTgQltAPhFU4o1hB1k1jHi8DIDGAE0CvDs/OjCDhRCK
EHHksEj4iuHdO3a5saOvaKKYaVelP+PcoPFK4nJuZHBbuwWeSPgUIwkdqVARuciEDPYe+ZXr0m5/
evoMTjN7z+DsVt1I/uUvchVWKPFI7AHPn6zKLjY7reAbyBuCnqpvi31lu+7gM/XWvMt0o/mldLN1
Sh1Gey/v/KsjtrC6+K5dGhcQcwB8AfNzLVTohjy7ums8e0vG8dV1WRhaJIOjjptLDXgUvMLqfCYa
vg2q+bb63qtPKH/Di0geHo64nzxsxHH72KUzxZ4nT1afL3+zV26MqisvjsldIU1Ba/vcTD/3XmOP
nEWlH+/bUbtLc+iC8s92N25EdysfjYeIJJ2azzNy/NxSLE/L6HAm4ty5qnRxFyRbGdfKAeBhYJCd
DF320BaLkZT9UT5jYjZyk1nK5Jo4IvXHqs3f9o7L3TmztDhq2Vw5oN0IuANbCaCffh5bjIFBd36l
uCHD5rUklrq8V2tfkOCEJipxJfi6xfKawDaVymGvPICsnmV8Tib3bcXrf9b1wsRiXV4S2Iy28wWL
2HB9OwzeVUP2McvDje+3slM8NvhBRmHlM764QSIEkQNopvDbumA6LLvJtPJ9LbbihS0zy0s0e3ZU
R4AI5o5JxoHHZ+r8dgszs7IvZ4uRv+LFVe1Bk4BLkFY8PQbfl7nXdFaKDY++uhaSYXolkv5v6dBz
gKCwS2Fl6utja7rHgNE1HtwNh7BmRiM5kiLGGm3vxbvRWKJg9luhTJlap3m2hT+l/KtOtip3z+Mo
i0eCZPJfS4s4n/nntrecovKBtXrG3uxVMz9Nnjf1N5ACzo+aTYuNuNW273hJk3cR2K7Qb7PJ+91Q
vjl1bis+FFpNS0pMQ5Gf3LSbP+ulOXV3Xss0/xeET8iKoBULw50RhJa18a1WNt7ip1E4YMgIsN7i
FKuFo0xpzRuLdy0PYqrDa1OgePXma0+2CviQ2AzW8WUZqW/ItyJL3slQf0oRt0565ftlE8u4Wt57
bDDNJQeI0LRd7HrgJtPY5tzHTFQ9FCBumD0pmjEwkTgW7gcmFxvqMClSvkbYfJ5EJVS/qfP0oyXU
7pc6BdPWt115mDgdYFb4dhQCX8l7MVMpKGXxXLjvSoIINX7slWDHVMT+8tpXNtGQABJZEgAos/y8
rcTuWRUPrZjC6mEUsAgWg15cX7ayeq3k6INkM+WfxQfW3aSDCpwgnunlU5Rm+2isvpjNxqDKyloY
F5HYG0ZxgGktrAgQ6WpsgGRKovS7YWc/PEmj+eaVYIM7Cb4djM8S+ZglcE71qqj8BilYH5KF5Kve
q9Zt5JndRjN85aNJTLt0EtS8abovHGtAwyzOpIeoK/eXVo0McM9K8aUNh60ayspxQwqL8hywcPCW
y1Pgdo5R14Ivl8VDskud/mhHM+xZWXjdJbBfXv6GK/v00tpz8P7ixbAHK6tMm8aIFls7w4HO3zK6
LeapVSNUuoj/0QOmcXH+9VLDimzkQKg8znFoHZ+ZQ4+BG7WfLi9mZZdAXUh6BosWpraELNR9amtJ
g+8oPIgXjCKZj72lh495l4dv5ASTboqshh4I5IMeFe7zJSmV3tRRz5JCVa12U86L7tjt+yr2iuPl
RcmbsnicziwtYi1UlJsgjrAUtMFk+wb8K6eQicRjPOraCaE+w4ejsP9z2eqqH9Zl9Z6VMji77Jil
TEXXjKeTOOnMcfaVOQO+yKFjAS64o5v6ux6n8KHTciDhbcpMN3IQB5E4X60i2WL8XrsSL3/L4nWD
DbZtB0m2JEANwQ91lw63TLxcTdpWmCbv8fJjE/7ziiM0uuKC+94hSsPXUwAxDl4U6P6cp6ZfJqax
twd1vgpztbrvDRu+xbybN7ymDDRemwchqYJjwTfLD/HiNnY1ZPGjym2cmmFmztRqIMMNgj78ogXT
+F2PvAIGoKh+b1VtPGy4grXbQw+FfAIcGMVb/dw49AiePSt85U63jpFrQPPr/B7afr9xsuTVeLVI
UnIAkyDWySDO7fRhosfNRHLcwpr1OUy8+KpyuhiaCR5XmFHtY9Dizy07DWFzyee7VjWUjeu7dqLw
RYinUAlCsXTxGyxHiTxRu4CHp10iDk5UHSRdYtH3G8nz2o4i76rDGsgr9UreFTRYHcOIye2doKDq
5Ey310X2dUjfcjcPrn4UMBJ86hXVe7r8nde2E85CWYqnv0il6/wztxzkTpcX2LB+pZCXOm6zI/Ta
ODRr3kky1ztAMyQ4cuGdcttIQx1qct+A8OuYQjTNsbWN6NB0cUxteUSk1BC6/vYUXgKbnqNRg8Hs
hVlmnAIPpmpeFM2BGsTTh0PiDdlGqLR2SghhyHOJqzGyOCUlVStNTCwuCNT4pz5N4Seg2BCu6+q8
y7XBPrx9y6h5MrNHuQwQvdzSF9c/06soVCJuRlw4n8ZAuyqt7NtkTRup9dpzTLwEFoRCK02ahRnD
CmCqCDEzOsqRooyvBluCImvHXtbcLAMJP+osi8PnqknhQvWCCaNj0izLIrjCZ7uHASYYQxj7qNLf
dMJ2kVQFn7Q1Afj67AO/xMHgwV2TmduFK7OjkiaARQxV1XTU+1iLjvTYqic9Gvqry3v2eqWYApCB
JwMvxgDO+Z7VbjGgocqkT5T0/Xe6a8pHWH/U+Fikg3adZKWjozxjjQ/I8qlb4KXXFWaJM31hfXEP
BpjHRKzjx+Cn/2SKQn+0temn0blfwRTW+6o1PjGPcZua3smrDLFP0qS+ygzYqa1O59JGW9o/htzZ
c+8uX2rCe9nIBg+z+B4NZ6KsZgnmdHJn50YQTZl2jH8FHAYrTZs5yc/U0xGzbFshHksmzGM/y+Fm
8rVZJ4O2c/iIfdeA50fyavH4Fm5Q3VPBsfjfc1TcN9D7/Q4i4mTIpEb3V1g3xR/or51PjMe71+ms
9zdzqUfzoU46/TvvAAxr4+xAi1SygeNeK5TpDqq9/KGGqBvRsVYt33yV5Wfg7FuUvhnAWdwx6HOh
EivZGK129tE8vavt4V1TiN+XT9/aQQehCw4YjXKy5oWHmu3Wzpte3jO3N5idA+IBg012QCNgIzR5
zqZebewLU/IivHBOkPVB1FTIjC5FQCfpjX3iTZD4VA96n9V+DXMmivZzsEMVtUICofuc9M7PLjcq
IlcY3PRhePTaWNv3TR3uIHrO+JcwDj1Y0TYEht21urmL5zT01SLrD3UdRoeytU5W6G28/q+jPDaH
0i+JnGxKLP1sQQeo6GRyKpIh/0lAqfphJca9k3nFAzzHI1Fma9v+rPllEE6ny3u2RHDxbknDOEaX
XqikFjn/ksmYt01XkWWlCjK7AJ+7ewUK8g/Q7Hu7ejC/u1PQnYpZVfY2rBlQYXvjsRDu8O3yD1k7
PDrFY3JM0jJ+z/nvKIy5hMiMd6Cwu/RbB+GfQKtgnhW4PWd148VefHN8FJM4YIRB5ANzwSmfG9PI
5Md+amF26usMdkL4Cx8q4VQj9FqpNRwcuysRZ4cP2zvE/LKnWg2b95cXvPzyLvK5GoEtyHmgEFAZ
yB/54gyH0N6FnolzUrsMztZ8X9sgaBv1RkurrzaINtR4dmoENNJq1HfdJpJomVU9/wDqZgYcz2SP
pMTnP2BoIfTXopHCudHSFpiP0NiPt6rT3Dpj813RtH0zWpHfNPpp9BI8kzsq14y6bZVOFiHA8+8A
ECYHHSnoAT85/x1tmYSzO0oMGPW1vdTSeLSsqvp4+Xsv3sZ/Pjc9AvnVGXM3F6/THCjg7B0O+mDD
8t02NjOOreeUn6ya4ZIpUMtHbSxN34jDYeO4rS0QjBNNaheMw6sORTwozGI18hmqSvdWQ+cCVr9E
3YjuFwHiPwukgcqUNICGV9H9rGeeBWcYYWhYQ4sn9OggYrfgOnfdg+U0W4QB6wf4X4PLskPdlwOy
8BxUS5Qu3Ant39LIkvtaL4Tf8jt/B4Mr/gYq8olFqKlXScOHhiJ/axJq2dT9Z+UUDyUqHXDcsvZm
m3AsFPnEQa4a4zrpzWLfNAj6gTM0jnUP1BxBoukbtJ39jdlG4zvY15THy8drdY8B2zKyIZk7vEW2
jCROJQetC7/RaX+pxBEtqiOXbSx85P+t818biwc2YzReES3nyJoT666enPykmQ1yU32pbngn+Ve9
eGD/MWVLNCiR8+tUSumI41ppygQz/cd13NIHRg3lLxnyDyj4gqNJFeDLf1gfnGRcEsmPtswFpqrp
hBWCNvKm2ji6bjkfyRk+165yuGxo7arQyXENCs80KJYZQW8g2tOWsCbpuR2hlGIZ0Oa29VchQnMX
6aL7D1dTDprKYTaQTsuFmUYGI1uv8MjWBQoagdlrX6CiUCO/QBejhwED8N3u8hpXbwUJHBh7PA5O
YeHwUkpHcYj0g59lzexPcQ+FZT0O72uN71lk8fwQi0TxY1hkEaUvvGM/OunXyz9i7RiRjUO7BpCU
2vjCtfeTsArK1UyvOLH1BdZIqMZpAubproobaFmjIE0/eOpUhqfLhte8PdV+Q39OKl8RpakobrjA
1YlFzeRrGKrZR6ONPosxsk9wIGm7IOTRnW093FjwyhWlw4BmmiS2I91buIEm1NlmhbaJU8c3rlag
cSdJnMywazeKHc/N4MUVZXWQwIFQIHRcRvW5rcLP6rjAdGEDjo+K8KCkbAtDuUP8s0Dl10kYmfAY
8Ih2aa8rH71+VA5O57R/kNWpZ18L7MT1yzAFGPbmr08oB9aaiFLCehbxlZuLNKzl9Fo8GKDd9JxZ
r6StxmbPMG+X7ABuIPEhCPimQyQQdtmwv/Y08cRL/i6qSNSNF+eu0DPFnkwYqOIhc2/RE5mgqB8T
9VNawP6CUFihPc69OvxtksDV/bqBrgYNptBSr+baq97u1yjvcQOAUVIBW17/SJjj4I4BJWP1fT7b
Jy1M9wpKZ5c/+sqiSfsB30kqNo7FErQSUZg2Uj61P0yqAZdQix5XH0UfarX1NfdPJISzj73I/Qod
IiFIpVbmXmNs4/LPeH3z+BWgzQB30zaFQ+Q8mqtpy3KhZd2ItPcOpbXHMNCDR6qSg59XrfljtOFF
hOm527jyr19gmDFB09FvATnFA7IwnFWD1A2SJePkN/iKO4YqNjpvKyZQlqD/QF0MHrVlxMz4ldkW
OV6l7+gB68L+awXVVjiz8gEJUiUgVlYVyQvP15EG/cwEUoXPZHRm8qvRrR5NN3MAnlD8/BK3VgPn
q+qIjx7Ew1tQl5UlEh3TYQYw5ECetbA+lRMqVCPlmMJyoPAHfH4c2tjYiIhfu0lGB3HPzGhyQdmM
8zXCmt5lVcTbpOl5AV6jnoNml+W187XNR32rMvX6uWfEADdJCYjy96vpYVOg9oZSOhmVUeg3iGd8
ZXzxAzrQ+iF1Iu/t55AhZclUCPRBjsufr81DoqctHA9rOWcjV9unGF6fy5ds7ftRUKQxJBPmV5GS
BqbCUjIcbBk0d6OdEG0m8Qc4qP9ctrN2Gqgjgq9loEySgZyvpddqvDuNHsabsoPokqekITy7bGN1
LS9sLOqjQUaGXnrYKJxh13s2FDTzvo63hg9WD8ELMwv3YJljXcVWRMynpQQkcwP+e6d2Kge8j6Px
KwpW5dY7uLo0Cxw0R48RkSVqSEE3bEgDbA59iAJkmCBP2qBwMphii0Nl1ZTslEnRUNikFjs10XUJ
PJbAq1407k6MsTg0mTuiz5aG0dN/2LIXxhZbhsBnG6Q2FVSLVJrs9pbEK9qNDFn9h7PhULvkJefw
vWqiJyV0wFXH2ajG8QZVgTsRiG9G42y4oxWXC//Mv2bkNXhRisnbsZqZTcGMGgcn9FUNlAnrYZcV
0KrNyIKdNCtLbxUe8uvLX3LtgtHd5SmhHISo0XLbzFmz0p7QYIzS9K4wGmqNXbIFktuystivuXNc
NxtZX26V94U+vs8tsZHirJ0/h7ADeJzkWXYXXs9tO3NqbZnitPZ9PSXlzoq823l+I48AiSnFwX/t
LEPLynBTc3A5EXrfouDSdWiawIL7GHWusRHJOOz6eYCNKVIXGbbBOLt0foyHoOhRw5WatjGCISV+
/WNiatkvQxcI8DSpRc1qiBDP2F8+FGuuSgb1PIxMYxHjnx9HQxVlHeh8Swu4SGScnIJBeuNH025R
PK0bIlLHbTDOL5W2Xp770RtNJjExVETv5sb5OljKw6zoB5n4X17S6gmk0Pg/S/Jbv7hhA/MCtRbh
CYmgkJJyf5nt/OmyiZWEiEcclhUV2iMZAi7uUmIhucsfU4LJTIvQQkvHfWRr80/+a3inGOhRtE2S
nBKGwnY5ne695vRoCymusx97I7mJukbZaG+uXQs+LOk9nVsGqBZbaXtWbAwTx3VWsp0yZAdHH68V
ZyMuXTupFP1U0BLgU1/FpfQ+BtOSbnLOjPdeSoZVIf6o0drXvabykWN6f/lbry4LSIgObgKntSzZ
qkZbuNbEwbGb/BCayTUViAMaGxtm1s4nvATMosL+RFax2FGAMZ0SzzxqOuQOSv+uLX6n4qFPPl9e
zdrhfGlm4R6jJm+mfGK0DpXQAJGW8INVt/XGpV79ZLgvzUZaXRLgnt+AEG2zqB3wJhQPs13ahNpJ
KcsMQavE3FjP2nNG7k2xGUIHeGoWvhilmDixgV4DlzKcv+bYsSpNj7orV2vF16kNk7uwTmHtUFOh
vhE4+uygCQqfKfcg3lvewiAAhUkKUfq1q0/XTlF8D4qwP13esbWDwTAsaDCWyYsj//yFO1HV2a67
mAKeOfVPaVW9zxyl5yajJSsK9FkuW1vbOkoJkrcGEpVX1YSkGvPMeY6t0HLptWEXxI80f4+Xrayd
wpdW5J+/WNM8qE1QWZJjMtDTQ2qW7l3WT+l/CN0Ys6LpQ8tPMkScWwmzwaY4BpVql2jfa3IVfxzV
Owogb3f4jiQRYItgOaXweW7HiNomdAU7lATVKVPtH7UUZbn8xVb2BRsgR2jpUFtcZloFWntZ2MmR
WBTDbru4K98DQQz2TJn0Hy+bWtkcohoospnBBgyzxLQbNAfzXmeyBVmfERSTfU0I/OWyjbXl8H7x
fNmEG8YyFoQkums0Ru2p2TnhySuqg2Z114AptvAAa5Ui+HtkRYqaFGBl+UteHLU2tBvNRMuM6CVB
Qcx0Gzd7HIO24g6pTNP4IUqK5UHVKRtem30yd5DdFROd9ERkxcEsbPXn5bWvXGhKVjCCks/SdVgW
bwrRF61L15VGaHMMR/ehGYcTjf2feSs+v9kUzSf4J1APpeO39B2BBg7EcfCObmJeQy38EGn2dVBa
+65Qf102tbajL00tfH4/uDFCg1wCSq/VH6WIusfMVspH+p1OuXEZ1k4ozKoayDcijVfjk54baHVj
cEJncCpHVIPEFVxL7YaTWl0Rw6pMwDAR/qqU2We9iJDOKiFiEzuLDDDM+qOGmuZ/+HAvzMjj8uKA
ml4XB+XMAbXv587u95YVP5iSFui/mPGgP4L6By7rhZMCrpJH48BqlGB6H6XVhB5g4O3NsP9w2dDK
8X6eNv+fIbl5L9bjKIOX6w4sXu3UHOPE+uko1k3GQAWNiPjjZVurB4HJ9v/ZWlxuim3x7HlyCK/3
HnVded+GW8zfqyaA6uN6IVWhFHq+HCMxsxm9UVlFab+PBjxdoZKb+zevQz7tzIUA1aApuIhi2PKQ
ZxeQRjg2yCHa6Q/qnxvp98pxxuNSLuGpkuNKiwOAimhmmzPfytH0q9D9qoJBqxx7w8rK55IUChrV
cPJJegDnn0ttND2Lkbv2E83bO31+0Pph42OtdPueaRr+vw35G16cMFjvdDOB3saPmML9kgaO+BoK
pbmPQ8dpoGcyh7965tYPxWC6THLERUMtr0mz3ds3DUAReHUwYLTfFhF7MhqNnjVcXL12UA4Oqg95
YuYbi139npJlgOYeZepXtQahtjM5comGp+tXtKLDLeaY1XPBM8x0vpwpXEYvWkVQbSY9bk6D7EIp
utCvBy84NtkbSSJkuAxg4V9Ly31DMTPSbVyQV2Xdjk7llUh4aC/vyvpyKNjBeiHf18WuxIkWJXib
0hdpdqUlZXQw2pKZ3KjeUrRZ3Ro8z/8s6efHMEWJFjVR3nFL9Gq+c8dYnU/MH7dboN4tQ4s7ZY9N
OMwjO2TO8VGr8x8zStiXv9qK02Zr/l3LYmvceXIAMrIWpvUf0fS7g23+6LbxjzzRN9Ajq6bw2HJC
m1h2OeAyuKj+lohXEox7+wR6Uce7coR9T/F444KuHoUXlhbfTdihBkQYS2rjigMK3u+SyEt3rbWx
oi07i4/HYEg6WpIlsja8v21df+6F9bMwGFW9vElrdqD5pEDA8B3d5sWB86zeC2q5SZk9nOwWNKij
Hxs0uC+bWTtuoKqg74UHgoB58eINmRKSbfPZ0hLR37Z8MKp6o4izkrWjpkHo7wKDgyp88d7hNtt6
FlxS5Cb7YxuF01OeBsq+tiqPZFrNrvNUQQ0cYaqN8vda5eyl6SXfcuJlghK4yvGbXe+qyiZzH3hm
irpxm2p7s4msp8CoobUPdQgZd8FsJ+/r2oo/zGY7IWXTmNMPdGWtp8sffXVvUcZiBJdiBlW0c2eS
W4GhAiTgo3s8VE4yPkUiPQhSwY1DRLGHv2pR6/0HoS9HyV8PqIxq1daGyriuls12utPRgkbWdOoS
f5oH7RRFfW98dGs4iPdT24lsn6Kw2vtTl1netaI410ORgh0u5ybpPk/DBFHphNr4LlGLKjjNSFuP
qA4q6vvQ9ErrZo7Rln4sNLXY612RFgz7QNV8a1fcmb2Th5P1xRydpv1shpXWP+mxqJ/UhAj/zoKn
urxOAybtghY57u+9CiX5qSq1nXAgZN+DGtW7W+SKi796MA9PQW7qw207huZDH7ndN6BVTKpFg9nU
xzjzEKdVUdJ+nKZgdu5RxKv+RMREzQfStfgJUjCrvp60JiyfkLmNnWOUjbpyhzTslaCEBSn7VFsQ
xJh1laJRjFUoW20dEV3dqKpdnRZ6dOdFPfLkdHrH961IFfuHY2bjsO+0ykkfMrMxPxmNmhYPDcXG
1i9El5WHvLBb3S8GdaBY1jXuqRnszL1PatH/KrNU996nYeeeOjj7p2tLb0b7E5wyVfQjTiDUuB+i
qGOo2DNPUSbcnQKc/9ZDRvwpjCZon1LkE5Sr2p4LcayjsFMPJSWt5iltjFDZg+LJkweqc5W9b2EL
+xEoeZqcurLXn5TJiMtd0wdOdcjrZEz2dq+CGgnH0qDVhmrTIfeauEYswUL/NSEeitFz1t+3PXK9
9xMyEWKndDAQHjwX6uhkVjvoMsbuV5p2WXiHkEvxbkDXe290Nur2dR258w9Xb63u5CUIFd5lg8dv
15xhSHfD6HzSElStYkYRnZSCXu+GO/jrC5yuPnbOUQRQPbCiWbTwBg+Tcz8MwOJOnaooVwCyYnen
emNYf2VGZVSPDE4FCXgYBD/90GEKz8+0oKxPFGIlInmODetOL/Q6+ZrGeXzoQy3prqy0cZHJLkNU
d6fRcvbzUDXT1xAU5GNEKzyC/aPXm13e6DaR4VQFf9Ef9cS3REumnzXc5OkuyvMiunfp5TBnL0Z0
d5rJ7NND7E33noYytq+pWebsJ4BQ+s8iH9RPZqiNX2K4MdNHok1TRRV6Lo5e46JEriYzQJg8pSXx
Z0CSpt3H1TyqHzV0kH53USgecsCc95VdDgESEGmtHa12Hmw0fYXm3ZalLT6CCRLRXuizg96bI0Qf
X5VxPPKjCteL4wTSPzuo7+2om1yfFQ+JH8RKpu2UScyTPxihO8PRphTGbgTRb91FWhWZftaijXhE
GnIWPqwNXrqfCujcDg6Twc6hrIb8q57NWrLzQs37PmRDnT45gzCvuz6v2+vCKaR4mMUltrpi/BYI
x1P8YWjt+CiEopGTG+ZQ59w9N3w/QHSWM3pT6+3j1NnuxzHPeWKCWZg3+qBoqNOr7vS5bJv4Q2Gn
zT4MxvYBb6QVV4owvM/CbO2Tms2qd8ikJtKHYkC5672aFSL6oqgzv6JyPvVh2DJZ5XXNeNPULYLG
UzJ1eEUonbL36EdVyh6x9OZpmGZX81FLy/O9rvZSt0Qfi/cQ0pj2vizUjOHdLCzKnegsez4pWld+
L7R4/FPWHd02krnmczeVTbBLR6DtfmPW03CVUexsD6HDePIXGoSxc8rBnyn7CcWNbOeqlaU96RZi
2nsyvvTJG8v2e9xV5bf/R9p5JMmtZGt6K2V3jnrQ4tmrGgChUgsm5QRGMkk4NBxwyN30Wnpj/YG3
ui8zGJbRrJrQLJnCw/Xxc34xqsV+iy85ehiyhASOJnUBUyjRjeyr1wzjUoQjrkrBRSr9Zr6Q2HW8
r4qua281oOYBq6LQP7apwJOvNESvHYQlQC4INjtGal6R39lp4byzhD/fWcLuPo/4nN3VlWZNm7jy
amuDSSyKudmY2h9q00jG0JmCosfOU1jvdKPHQGYMNGyue6xyL6oux1G+HctA7fy5dJ4c3RojzbVr
aKOZqfWbNrCldp/3A1SlHBWZ745T2Z+UbTZW5Bsj54RZtu33wMjbpzJLBh/doab+UILx2RSe5Vyl
0C+uDE/J60xP3A9ugyvcJjAG935y4+R9NxiNhi1cbl7k1jRu464xpshM1dxHnTEYV6h/4MzlLOOH
3LY7He07U3/u0OJF71VW09u8VM2It7iFi3acIEZVI9M1IXYSZDZEqyTVohjU0U1hyvE28FsPKbsA
9xRUxSf1vQgy9bCIrt90bXA7xqO+G9NpZzrdo2fN77O+ag5mO37mgZ0fdHTEtvjN+U+qsJzDUqXa
vjDy5LIuFTh/BBT1ZL7W+vqDXU63nfCar2lf+o+jP9oDyMGUJ5KwS4QW8NlwHktR+xE0KpeC89CE
4GLoB8Ab64rDZ2RcwXwDC0uePF+6b5YuFQSj8I/0yAV7elUmNV7zo3XZ+bUN8tXHUt1oGmJvXWny
3RTn1qe+IEcVZYbWP6dV4N8O0uzuOjH2t6luZQeLY+9J2n67RK4nyz6itOgu4ZLFwXPsDuo5bkaF
azO1poRCI/r+GxMEoL5ZgqF+nACEWtsMyY/x0dHRoN67rIVg48ABupwre2i3vrSsciMgOek3g+GI
d8pB6W2ndcCWN2NBBjzEmj7QyBhz/0QLqeIpTCQuAsgeW729K5dZaBuDldxvrBrV3Q28WOfObGLr
0kSEbNmibo5/UO6gBmRS6PiU5oJ7fuhM83pOkb4JK9Bv7VaaynjEqVrdZUvXRoAXAEVQzO11GHhT
8TbFTne9xieIheTNp+ci16cL1oJ92VGVoNKrTc6lM8xmu20Hs3wqOjYdLn+abuLOojQHTrdBiiJ3
+vnLAC6ihiA8OrfT4E04iYnUvU95ln9ueqk+6UTHeWj06XiYwKt+aqep3vCq7g/60kB98MR1Qd4j
dPt5xqkGSL7vivLSX/rh1tEX7a3Fbfek1Y1uRhkaUjdjKVFtSQeKTtewrVZAn8Yix8FM1BpULCOd
twaAjSHkOCHU48Iqc0Yp99UWw3on3qKaYmZsGCO+NbNMA46fqjSq4xF1WF8u8itZ4PRLZ1bOd80n
j7Zy4hI9GpXWf8DbFpXn3sjMIVR2Zuq7SrjA8NqksMxNnjRduQcTprmRn6beDQzhgo0vu4eY/IKx
NVtNwagEFbEDL298ShLSJaExehJo+zzCnAIpIUXo1Rik7YdWyac6LUjeKjHYGWZpZvXOquNehosi
oogGi+V5yNFtviIZV0xh2jXzpR0nfg9PRnTLTdsrOwiHdtS9aOx1WewJKZuPiUaqjkPHfNRiUp5R
1YhlM9TNW30McB2YZGHc+O5Qfq+yRk27aVR7XwfduNdUN1SXZptT6ijIT32uSs+Lt1W3WHdiXCwZ
9m3eXyhQ5Dj6GPb3JVP5FsCJtx/8Mo74VOV1opzmJhWYLrSDKPFjMCY9anSpsq3R2tnlVNQ+/6K2
qB+GblTmtqL8t4W4Tem31c1G3qLkRDAct+jSUrNaNiil5cF+sPLC2Rs1frNR6qjbldu60Ye4CPsu
6HdkVsCvWT1FGbsEUxRiwexUW5F1/hjlS95M2wztuuU6C+xCx4lvsB+ToSZ2X5rl0mx4Ru9A4y55
ZAOBNlBaLL0BLoBo3WghyP+oYuE8pTJxZ9xghd3uYm103bCMR0Ev62rYOySt3mSyb541v0j7e2Ur
79pamt7eQqx95y3ptJVFUV8UTj7umxwSXFg1XBJw6pT3xZjr8iJH8PGTIRYqkBqOrEvUmZr71GhL
NqzijCWu9G6d5fuxHbT3s9t2t+ZChG7YokVh3pbFt9YsZj+KNVt/VHFRXDmzPEycb48t1Ftz49TS
nCJRoGK9Fb5oPpW20y4Xejq+FX02NJuZc+A6FvP8Jpe5dTnlxfC9ctchbmWwVpJxtPHgNUlw9Shy
G8u9OzxPc2EuF+Sm+9XgTdfqp7kIuk3tv/c5+0OKofkqYqR3h6bWeUuk5VRgqlCZ7LhajfZmrmGe
EzgsrbYrOAuiFHy0c9c1WXngXVS3V15eJl2kTZVhh41tq2GPlL+8xwt2JVb1WXFT+SKNIG4UmyJY
pBbqSd/er7Pp9ndTTub1vWps9Vgi+XqfJRZV5L0j53rrW81qXaxZztuuE74K0wFOfOT6s2Fss4aM
06Wp5d6mi3PNeq8X+tCGUqbJbaYtU+6FtjsYyUUVe+g2EzzoxaZqReHfsSLjm0afm8+dZcg3Gr4e
DrxBrQwiQGHGwcrzVHEjgauOljqo/IPVSf7Hd5r8oycW3yXMolIWLmi66oeuWYwkkoPpphfJLIqe
sE2Kh2XNzdw7dSXGbcEXrHbNmNK9N9n223FoSBRMeY1FHZEijwbPyZb7EWDJZg5yqXK8+YZVrots
B38VQZkLv5HGbhajB1OZZ4pqI9NbLH+nDWVGhtSdu4/9GvXstFw0Y9QOcrShAmuSiYJKHxqO5jVI
cA0wJa0h8Te105fOVsxEVpdLhs4uYJLegEIJsdzdZaorsPMd5untYoqygQChNfrOryfrsfJ1Mwit
2YH+q1TOTgZ+Hsecdu7kfpBotT8Ei8hkWK61Y6Ckvnmd2eZ0aZjj3dLqYT4ml97QeuOmrPw5Q0gE
b8Wdi6SIaTTxe61EE+NgVK1lwsGzh7H/TOzxJmvsDnZeOWtXNe4j/t1CzDuFeSX5b3CL7YdxyKcv
CYH53mcUHijKmctWJ/5Tj/moz2NU81E+drFALgVQ0HaxC3Xh67Idt35HCNP1/O9B15uUBIgmKBhq
bboQ4/iLEY1mNpfbJYB/u7OgLl7qXUvDCS4rEPeyVEOeMDB684r1ri66whQJxuVN8pyUHtmFzNVz
/yaXkoXI1cX8Wzwm2mtQssgMVDoTpWWd9N+MZRffzVYzPane6g76iKQVva67m6rW+ut8Stfwxiz2
WGU07XWVtsP3TAd6x4ySu97iBqsfyBUn6NAIt7Ajq+yMHFZjZ8U7H2NwDnGviap0GL/piV3jSpcH
zzzqpuVQ81Rlz2TE0KG1qL7etFoXXLflWHrXXmu07p6XEb8ipObFG2J77xMPZ92IktrwPs0F/xOV
BOn5dpZ4nP9Isf3X1+m/k2/1/Z8pru6f/8PXX+tmbtME4MXLL/9513yr3qj22zd187n5n/VX/9+P
/vPll/zmv/7y5rP6/OKLbaU4vx/6b+38+K3rC/WjET7D+pP/v9/827cff+Vpbr7944/PzyXDnpL1
TL+qP/71rYvnf/xhUnIEtvJfP7fwr2/ffi75zfvP7f/+Xyd+49vnTv3jDyT5/74K3JPnW61nKMdR
Dhm//fiW4/8d4NQP1CeKz/BJSCdXdasErf6dwjrGLTqp5j81sP74W1eTX+IvBn/Hg4/3HmiUlfUC
nuL/frYXM/DXjPyt6sv7GuHd7h9/vMx6EnXyWOXxCD0NxBvAwaPMuZUsmY4hFwidcX5yR1RJiCSI
hPruw0+D8q+Gf25ozVn/lfP80RBoC59WaA1i0lF61ZzJjsQ1mpYNQsSwL6qHol7uAitrd5TfL4s4
PpPhPtEgGXrquaCP1vPsqMGykpiyjuTql7pMoLt7z7ylP/lCIqDo5shTiGTzehdfpnV/dBHfLMIq
uNeAFY5ZuW0A+bdXjKVhQS5Hs7My9lWs6qvWT3j+YdWy74X1kOpBcni95ZezCNiTxUJRGQsyQBnQ
MI9m0TDTBnoeb0dE8z7oXRp6y0ch/Y+/3QoOSqAwkfQGKHyMgPL7Vi5dHFPNaZ5HqFxd+tkge/C7
jYBPh71ACp73yC8SESLv/U4OFOIbfbgY5/u6bUMcgnf/Tisrb9JE+ZYq2MtkvzBby0p1eMZ9yqUc
GOFQ3aN1uv93WoFU5ZtkndjoL1spyjL3soEspCX6274d7/w5YfGd801YZ/evrbXO/grph5+DodZK
Bj0qF9Vezls3EA3syuxCy7VrU8AJfb0rxyiuPxth0smVsKsgnr/sy4Rxcte2TL5o9TupBQ+DxyvF
je382Y+d5Npu7SbqfOKPwesvzaJ9Y/XtORnWX9c5zvaoSMC9BxUHIvPlh9BwpEhVblLwLccZ85Bs
CWvX3iq7Ls7s5V/HlJYwvLFAF3AEu0dTpwGJz4qEsCnmVXKdiLHC8UJmZ86oo0osgwquhQoswFXa
wOn9ZX/Stb4Ri4x921Zf7WmOCjvYcG9/hFn47vUJPNUhbhT4QRjK8XA+agr6JaUYHLgBnzibkVRU
WccPrzfx8vxb1yHjxeal6g+I+peyZVDiBVDg6RSaiVz2TVIYwPniapcVE5wxTWCM5Wfwb8N6TH4T
pUHbWL1QyOT4ReKEk/DlSCYpzkQiCTh7RY8Lo1vjxqiL+LdXxWooA2ORLcAxv97lP+NejEHNeZOz
CSBGmZjNY0dsj+pMgfTXmVpl+UC0rF0xsXx82YgsMsNDtrMJDZKUU+tvK9Lhr8/Ur00QVECHxF13
NSY5Xt0BklGTMRHC1mXWvc2JJDfY0s1nbqUTrayayTiVQxbAWPlotAZoAdKLOZf6wI9m43ZK5jOn
0okVx7mqcyiZVA78434saiys2mPWXZTHXPh8I8nBAXlO5A3FVD67pDO/z9QDWwq61D5eH8V1Il6e
u6jwQRgwUTNaoRRr/39CQbmmq5Km5KoSmvFVCf9TpcUfS394LBtRRtNyzkfmhy3SUYNA4MyVZU7O
85cYCk459bKWDVbaSCoawWBsEXj7IpyW/EWRc4tp+lfmnccCRcGwGIW1FUku3hgkm6481LKiZNRk
CLCzRSSBsQKtVoQ2Cyzq1OySalrK0OxVF/Vd3X31vUGG0jY1XvG6vZH1mO5tK1krpc4XnSobz+by
2TfgupADs3evD++vy4d9sAamsExg9/tHW7pe2nkO1n0wUAe3HbEp59/0N1tPjRXFyhL9YcN7jLzy
S91QWkOGhDck1nrWcHAK7wxX7cQahZmAw7fuwbEG4/Vyldju7C9DgulK5uhjxtMxN+/zriiWu65H
KvBWouWTbB2nzPwDssj64+uj+OuViYy8xXPRx8MNtd6jURSk4dyKyDs07K+Z9cVo26hs3/8bbaCq
qMOcRMLFO4L5u2NhzMNosQ2XC1nL6yUdb7r5zAV2jBtZJwtm9eoQBb01COyj7ZZ0UIQUoOOwQ+Uw
IpuNWF6tFnnIB6u9bCqTypY9k3tOcJnRSYRtJtvsvgZL2lzUU+wcEH50zoTEvx4BfA4iLwaYcwC2
98vJrbWcalOToo7dpHvVmAdbZO98T3x2l+RgN/m5BXtiNh3A0JCgEFVlWo9mM9VSKvSSEyAJ+n7n
dZ0bBSPA3pZq25+P9Rdv9Z8fbL825bDauMeQOeCVah9NaqNm35/X7KEajGzneFSrojGr1dtWD9AK
e30F/brXaczE8Zmo4UfE9XIcCU4QlW6ITqAwO1nkirlvN76+kHL9NxpaKZ08Rnk6H78KETlIDavg
UHHNh8L/OHqfXv/7axj18ojGh4qtzolFvA/i/2VHsjpznIK0OGbygR7hYeSGXPY7wxkOclbTmd4c
q6qxJzi9iPgxh2b1ccK8bM4hKY0jKbvbnuLnKpu+xny8LbQRcA1tfhm08xW4/I3SSVTKun83IQfe
5vLMEffL7EE7sAlZmD/KXcSALz/FmJmTM06sysqBbznGNgTS7Jyz0KlGYE3jm8v2J2I+Glmse0tD
R04TDEEa3EiNxBg3oH9G7PFUK2TsYPgQTnJcrt//6U7XZdxgKMGdbjmfeatX9pmj8tTfR3eW8Bi5
C+sXj7vOaJD69MgRDLKAYO5jtzz35nDmXXGiFR6CUPM9WiHYP9q7cZDamdPz8Kx5eISqie8oQXx5
faX/cj4wODwYSOjA6ll9y16OlI29FwZsNSvdduvrluLOPg6c9iDq9NvrLZ3qzXrgQQRxA2bmaHk5
ujBwHbdX1PIdJdBw1uMzceSpviCBwkkH83M1CX3ZF0jw8xAsxJEyS7c5fgBLdo+F0JlWfjkbIGKu
gjncF6B58EZ62UrReJ1TGpyopkBcvTe3mqPv8uV90ZzLRP06YgacHM/gVUnWkbF72VIiFiA3PqtY
xvVbct27IBnPKIn+evQQ8HILsxd/hBfHOSfZphLZO8ZsWsSSkI7u++3SaF/BE4aV0vPQc/r6kaS9
E7WJBtKmbSkjDcknytbTmZfniZGFUgGBHqYQC8Vav//TrsU2zsYtjxjLSYz3c+uiN5QMTmj78qNX
nxvc48bAbJJv402zcoUNoKwvG0P3exwTwZmbmh51c3OJbOTi/TK4UjHc+dfX/lFjIPbxwiCw4Vbk
TfnLeRGMdtYkZccuo+SsjXKnBVMkJ3kRizOhzNEe+NHS6qS4hlf4CR/jXyer0P3eXfEneRCRA7pO
YzzSl6H//ts9Yg+vqntwoKAfHq1NS43elPr0KJ31BH00+5sCvBZKc/zgjqa3e721dTJ+uo/XXpk0
AqkHjjDx99HZAUETeHatuDVU3H/Q4qy7go4Hun7W1F6vRvVO6TY2oK+3SlL7uF0d/s1KwoF7TQh1
HAeAEwi6zppFZJd2oR0CoBHLBr527V30pfB4ZgG4NIAiZRRzIqsubPmlH5dGR9g5t5PnTi/nMonG
qmvSg0Nxdo6U7PqOgyPHkmfjKSMRB0cBoXmQWTd9lkMbE3YAg6igvjalJ56doneaTaoRDG27sfbT
sJPBs4OFS0/yguICMutzoS3QMEvAtQU4Bf/Wa8CFYyqLwcxVUi6x+0E0RaZFy6Dlz3XiFiIIk24s
HjtjBXCErUAV7j1ltjgJ4wqdiVDr4Jg8uNWwCm5TuZr2rmD1XrZrZvlCC5yeUmG+ylyE2Zy46fW0
lAiJ1v6waIe0yg3zMwDicg9+qUs/zh15xpu2dCzgM/4gjXSjnGTeBLE27xxg5Kyd1LVYt7YGjPc6
rRpKHtfd4Capuy06O1ur3r7Zp+FS0RM2EpXsNi7Q1Fir29wuyW5SbvM5d+ZuuBgCq6uuqtoBcp/L
1qo2Rg5aVazmfO8Hzrx9sxbWERoFOmk1ZWrvcTJXu0kC73DQ196gzyC242CorozWPMtVnHtTNC9K
Tz+LqfhYFJX7pdXtHNQuACpnqIJL16iSvT7Mif4FGLgVxVbqRhxdWXpIERi+6a0h9z/msqtu5gzQ
ge+M1WVmaeQaRDU8cncVxgNMkR6PmbnqorzwejQZEoAqd/IHIkIwaXuMUasLfwVMxCAnlF1SiRA+
XJAxrFbARWIpc7jNfqAxxNQ7T0brVGbIj8nkKTHdJr4Mai8GgGZJ2XqH0en9+tJe0SEFFXWimhXQ
kCuvwMRKNzYZgBIxVxworaJYvW8AFU9v/RWDkgRjbn9q08DaLul6Gc4/sCvgRwK0MYKE4FVwL2/J
95baZmwQJdvyBB3zb0HrC3E/rVY43yops+xBxBnEADsDxbA1nWLa+VlQfikLrd6bfYLcRrbsHSsR
5T4HkFJv7VLoKEjYDtAtABZgI1r08XFT0LWxvzK6wTuUafcsCQQGVJWiSsNNUBu05yzW7flycSet
uTBjVuoNKniz96h1c7ObOBHKSLOl8jfIpXrOjgq+y48rI862ZW+6w6EYcxxy06yd3hZ+3O310pzj
0DSbMt6bMF2Dd1MOfH/HiV8Zm7xvJmPjFM7sPfXCa/EoTl0nPZSTgailR2ELKPlQ1dNBjxOQOCUn
rtiDrruaS23bxPG4KxrY1pEDuwGF69hHbtkntR1fOZnffczUEm9FsYwPlQNxOOpagFZ75Y8aSpKt
k5h73uPGTqwpn3YqbpZlLCPYsjuFM6UHNCrUKGp5V7ItySAOiZceum5qrvupyMuNNgufi1ipql2X
RKcuTGda6LM/IY3vAafLdqM5oMhP/XoVsbSNLosAaeggJwNg4ru5X3TnBpRW19zntXDLyDAXp7gc
A795E8sUhIJIxvQDaMqN0nhw+/5HTJKZ30E4H4rVjX2fCvsRzkPvfFK5yoZDnKAZRP3R7bUriJrW
vCGMmoNDl9cJkIxubPSo9HWAhbPMHhuS8Q4AUoK5Z3euQaUPRtntTUfdV2aHrKXZkwKAtsHL5KJw
K9e4mpKhMPd1HpTOJsApSz07iQ1uROq2GSX4koRDrm50zf+U+v00X6VIhC1tiFhMbH/Tm1GHt9Ag
+/c+LWQxk6wZhOTmIFGL0R74iGsJAn83W1W69duutPH/SsiVPagUTNGFK8uWo0ThMxOnIUm5xVOh
ij1rMg4IcM5ED3ivZO33uEf/+nFx7MK6gqSVgD0LbGHrlFVkBpRMGIX/5ENGRFAURkwebCbyGm4W
9rkdf3fwmuIAjdumuqoLH0m9CEzZ81wa7XyRO3puf5itfF7e5VXciC8IQYz1TlaLoW2kq7cOF5XZ
2gytScFgurbEBIbKKKVPtTaXbhfGVqXbt77fLNUGrr7d3K+R6GZx/enZHGOVAG0rFaAM30sjgYWh
osbLpxXRIh0Rb63WncDY8b4y90blwCAxWypvQK7VF2NY9O5DiuPPrpFWKg8LoiHk//RMe5e5MCc4
zGMpvtfAVA/JkLjWYw8k030LCxnsfujqotnUXRkAWFpyeOmfF6H5+VWhO3X2SAquyzZaAUg5iGrZ
DslmsfLgGgcQW2xE008fUkuiDAgse0sZNIOE4mK2eIj1rHO2VTLG74epgjUhk8bU7xZTdWLTN3MX
+abIgF6r4eNit2pfUjQnnwh6JlTGAnuIm2PJQwC+KR6OiX9tG068m9WygBE38m3TZsbWWRz3Zq5A
qie1rUgDw8ghmvBWCWnHuZCFj55pCFEk6fYxUBYNy7+xKVYR8aGLmoVVJZvCdPdtt2hYE/Z5Mgpy
C9q0HVzNN94gKjE40aQ61X+dfQYBzDDEg7d1OS0XgHT1/rus7WL4BKCngJ2Szg4O4unsjsZ9mRVZ
24B7LgSblI5U2XczAY68yzIvaO8k4Fd5h3TekBaRWetzeVFbk2vdGoLdZYR+mltyYi/pcY4KeQIR
oBN2BjxTIn2MEqML3n0bW5pXvhP4qNSbjmyNdVsZiIlf25CexFcgjENx0XWyzN77BSLYfcgZwx0a
1oOnD1eWZvbubZkbXQXiOi/Lh7LvM32P8QU5atLwtrobxtHoomFpAnMTJ0WWQ3/WlfGs1XkcrEV6
i1qpm7iHZRSBfVnRSr3tlOcl6ddRj1vMoMGsguHRl8FpuCBVVt71TXVLIse5nLRiuGgSBxVLVQdp
vqkpc1/repx9r+1p+oCxTbls0smzn0vNCULHnTGZWCB3bVAADdI3OuQAAqjgzlpKaWFJ4SzWfRFb
bxAdkcCUZ1Vm2l1gZt62Hx1r65oEYZE/+DH8BgC6F+BJOvdJTaCRrr1hULu69YzqHQF9f2MXKcyD
xspAcTo8/+ptrlRQXxqTfBMs/bJp+CVdFG0MspKnHHHjgCKjedvWsxXaeqs4sNvYU8+dVgO7NtJS
xYcZYE38EHux75PJzpL9gKvJvTlTb9bjUiabao7NJJz6thefG30ktsMZpsNSogDTVLFQxYT6tpwh
qL2rHen0l3Ux9fG+SgN72PnwWoLtinwAVAdUzhq4pq2mGgPJPBoZdZE8clKvST+MRtEFe23p+/YA
i6aa9yi3ec7BXxCCebQalbm7IY47BwRyNTKaPlGrHQ0ys+V+hvNvR9oyWgeO6wGeQsMFGQBC9eoJ
fJt0RZYEUVaYVfwlgYQw1+FsLGn9SOKUqzKEZEZ5J4+NJdEiYzSW4junnlSAbAGFqXAQxLvvW9mk
VyasZfstKYeqR2egLAY9a9c/psWjRKHJ7Nsg2VJ96eGvKn/g4tu8/go68XbVqVgwZljfkA61Xj6U
YwQGiafIEBHQeENykPXbJG+i0W7OpLtOPF2B+aDFv2r/gEw5epEXY7oUCYoaISjWGAJBjt/X0mZQ
Rd3/sKWjFI5w4glFVwr23ozo2zx2YjfM+ufMgxnz+uAZpzsFeRrHEA953KPR81MnnTuXTi3w8q7r
2y7KNum3ZG+HwLUjcRgeQAluX2/01IyRY/uR1SBtdCw5XMXgBEUH6sG15neW6iNVFhcqAfsv+3OY
paO62PoyJ4GIiB7FMfRxjl/mUCMXhecX5T1b3pI9IvCwBsh7Rs1uqNVF4esXaZwefruHYGRoGCQE
YJbjHvJUA/ERS16L47wf7GuYexFkoCjNziQejlJwP9IpvEcwewWTRQ72KM0RtwkYaIPEgwEMta0I
8OrH17tyDMn5swmSuyZObWst42iFzCQTPSOhiWFn7VBsTi/j63mHF50ZIch+Zj2eWI4G2AdzdXRa
vXOPGrPSudIns1kBMakMV7WnzZCibs6F1/z+KqQpQHSsDnSH7SPcQIegsZkKXvSOFAdD8oiwpXUI
tPKgxcY5SNGJJY9kOykQLhCEeX5UHX9KHQI+X9/epA711nznqPraXebtbA6P3IdnagvnmjrKMkPU
hoGhaGqU426eygvffiMLcZBt82+scnfNULqezR471uTTW1t4cc4+HrrF24xdLd6KPLDuPYU9iauJ
5cxiP51lA5YFAAdw6vEBrIFOM1OrZcZmpXZOiVeI1tZRLocnHuWEwfYQnEmMnliPVPCQYaAAu8qy
HZ35pjX2LXoZTajyadiKKtMegrKFqpQn05nenWyKw4rCJEsSyu/Le6xILDZzPNI7oUcVLELCRVgQ
5xRgT5wYnIMUW8lVrr46R8s+G0fXGG22M4F1WMPdbcYzG+vEkctxwTW5Sr4D/T3ew9QQIaVQQWlL
47qZnPQqqHvY2RpsvCntikPtTtX1GnyfmawTKx/FYXy3Ya6AmjpeH7BQEJfLkFqHqcSr5TBWu07U
F4t/phB5aqbIyK9ouj9xOS9nKvBl4hDor+u+3gg9uHCdu3JYzgzjqYkyQFWQWF6rDcfDaFaGlxs2
w0iC4WkiW0GQeAYDdmpD/dzE0VFh1bAlm4aOLOQewlFNwXZMkw+lOWXXdo8shX3OnPbk2vipU0eL
3B/z0uQVxdABqFDvZAYNOf+SINmwvv2Hzj6zJE5O1U/trUvmp3O3ByyNDyPtmSUbyoL1cV2Sqnj9
ijy57uDeUKOkKkQ99GUjA/uNlB0KR1kntpkZb7syI48xcmh8eb2lU+EaEdNfTZkvm1ocOBZVwqJw
B4A8mjVCEK1MjIWSyrsg4bVsG78aLkQ8A+jzxfDkkSf/Dtgh24DPj7epKbN96wElqbRxeff6pzsx
Dh4FCURMkQYDvX00DnNSW21qOwQjbXbLwQBp0iaH5M1yYxnamUE/sZIAb0Mm4PoGwH0Mgzcsjbdf
0sh1e7hbv1b2prDnZNtqWnZNYcSCWuxhThqTKz7T9OlF9dckHB1wJTgvzeiYBOHvlxpW66qiUDy8
Ppint/9fjRztTbvWFTqxUxNqPD4xeoBx/fb1Fk50g7wV9RfXR1/iF0ndkUw7EiMcl208O05kEnLd
QoRGN6AcqAFt/43WVjczH/AsAuTrp/l5J0IGpM7P4hj8lkLOJCPTnDaD4XW/H0JS9f6roaMt79qB
qERFQ14cREp0m35yoNaf01k8MT8vmjmKDAA91gavJy4bZWHCIcm3fnt9xE62gFsJgnA+wK9jd+QC
RwKE2JmfKqne91r2vcnQaf3P2lh32U+zArMVoqKwCBYr/U2tf4iL+c3rLZxcZT/14qg0WlNWnmeH
XuR+cV1JUppoCpTm4fdbASniQ2/S0dA71uibZ7Lm7shsLE126IxvTTccUuuM8PmpCfm5kaPDd5os
zXY6GglatbVwYqW883o3TrYA+siGuwRe9Pg5V7VLoOElxmBl4xvlFIcqL5/+syaOtgeg+KACQUIn
gBOUJIQrRf349TZOzTmUa4tH6eqd7BwdkLV0SsjGHmeXaJ8Lo7mZtPTrbI/715s5fd8YxEdA00g+
rh/jp8Xr4DIBlZP5kA5RpV3V3+vA/6rGuICC17hnlti5C+dow8M2RwpGceEYRdFeyckJnqRyukum
Sj+INomv8qKTIUmW35fBpYOgYFb/d0gBx3GtqRLmq5yw9nbMd1m27BSZ2deH8sSMrfNEXm/9B136
l0OZFDPcaYOMHVWFHqanlofC6WCXpcU5bOSJWVv1pqEeAC4HsX80johnBH2mODCREUN8ritHeSMn
37lsF4GBnVtW5yLpE52jRdIkBoioX72iqzIJ3LrQIZojcVEvbwngD5Y77F4fwhN7F4YXz8SABwiB
yVH0M1mNP1o5rSy2GfpUS5asP9PEqaFD3n6Fddn2KhX6cpYmzbQ6B62pMDXSET1F8tZ2qT1gnASF
Qzv3ID3Vof/D3pkt121kXfpV/qh7ODAPF32D4QwkxUEkJUs3CEm2MQOJMQG8Uz9Fv1h/oOu3yUMW
T8t3HfFXRFU4wiXlSSCxc++1117r+Wrbv3/2edW8o6LKSXMK0dFfQMkTGa33n9lbb2Z7ZBhrw5Bn
FuXlEisAmtIqLEExNwRa1v7uqJy6Qrqf3l/oafDohKFD0gFX1iVDdV4xdGZZTx6tKMreSNupK92R
wP5W7uzQ9LVg/US/CcDb7YMkPJctvvUYn618SltvE5qSzcjK6OYFUkVahbbW+7t76zE+X+Lk6E1M
4ExazRKM2gcZwnIVQ/1tcw5LPbeTk/tPVaB10bQgYVxUCraYBWH0/IMjAawHno8rAWTj00jUMkiQ
pgR1I1vvsuximOWVwujkP3hiz1bZvrRnZ7vRNIlRBKvYsxnqyqfW6Xe5PHNjvPm8ni1yEungz9Vw
gViEwND5lilDwxWf39/IuTW2W+vZRtR8YV5nexO5hkG9DXq5mgyc/oNFuB7gFCGQ/krJPhaeUVkL
G9Hjz8Z0Pf+TGw447+8Ftl0+20Uyt1YrhE0PZzDuazW7oVlxrkp/4/5+scbJwSqWluAQb69cQqCR
g3ajSgPtPSSKChUOoqHKSIv7f/B+bDisXNv8L5Dby51pg+1N9XbQplz5PqhWYA7ZGcD3rSPwbInT
AKMgTVL1LQ9PyooO9x7K35n3/1Z8eb7CaXxxNKWvElZYS9XPzEusZOjd/3zBy8D3X0/qdILJgR2n
MvoC9F/WoSHvyuxcaHnzEqDTtRlpctkwSfDyZVjeUNt0tBlh7vz4To3U3xFUpM+gBOrN6PkIaC1X
RVgHeo6AZPj+N/TW3e2Q7jBFqDEb65ze3chgLVPGM7TVGQ2qITC671TJTM6dSeXeOg6QQRmEZHYU
c8CTTdKaZihpTlq/L3TEbXP0dM6lcG+dB6jC3KNshdm5k0M9tovIlU0lCrbL5dz3qDBVezGNZ3Zy
ZhnrhPuPPKJSjBXLuGP7gPK7vxjymK/aGRT0zQdGYs2EC0YCIOMvT8W6IqJZd7yZzLMfC5ner7An
/sHL/3uJ0ykGxpryxMlZQkBgMccvVuZeDOIy7s5liE+NpNM8x3m20smnihTaojfbMUv7qP2ju1J8
Oro7L5isSyTRIgTn9u9v7c2XBAV5UzNmJu+0jbauijesC8fNoScef9m8Xjr1nOnkW7EbXPGvRfSX
r4gk1PbEuC1iVY/zWH1Qyv7ziBF32KlGVBbFJ721mzPX91tfLLgLBcNml0dT4eWiSVK4OcJMLf4t
IJgOTCfZZZEjtKMh1Dx6/zG+XsylkGVWeht1oTdzctbRyyJvSxHD0gd1+DYYyXiYlh7WFsPHGIwb
ZSzPhcPXb44lLdpbGtPTNNVOAkVaxzD9kBsAwWr2q5lSe61rOK55ceb0v/7AGFFz6X/ircGg7elC
poc0VeyhjVe1yw3S7H/YvLozazyNQb88+C8XOUmEmjJfvCZnkriPzAu7PGSOn0Xomt+PYUHQ1f1y
CrNdfAbpeKM7vi1LcQ73nz7y6ZyBLZVGTUdqcxq8Az0UxVpwIa9hZPq6lU7fxYiIsb+2nQtSWCMt
G89Lt4fwBsnTKO3O/enngMQDqDgjRnTHaVmeBIBWjOMao63mxzGd5pZOTg8V6qOV9puea9ccdNFF
k1ZgR7vGu9Wc6kAougalv5qCzMm4/Qxo2O+f7ldHjeJOY3iQUbdNbMg9+X6XNU+t1Fg6384c43pU
FDO06zX9YHhouL6/1KvDhjTNVk6i3UHSxajgy69W0wRTDJbdoYJJvtJ/nqqfHOOCEMFZpq2J4IDD
WPfpCl6bjAZU39YH/b3Iu00/S92nhhu+v5FXz+xkmZMSJVVMvHZLlunz5DEZ5A4TxM+2Wu7eX+bV
89qWQa5jazujMXDaD1Y8RSaKyjJDtXOFvE0W+0xi9+ZGoAhwFlXuiNPPH0KY0zvIcjPsOJORKFYf
tFV6Rd56ZljszYW27u8WzqCEnb56HTZ7NS+tL/SFud65/q4W82+q258zz9si42msAb3CdkRlnVek
IqyV3ViXFpHTqq4oIGxIeOVt3icfIZR8bOz8TMP5zSizsUeoH+gIMQn38lBPU9xpdmu2aO8YyxWI
gnFQvANg4A5OdH4tG03ezP1oBwhSrv5oIYTy/il5w4uHY/LsF5xchuNarRldCuKct9BMtM3aerQb
1y38dlZpTcMCX5JhP+qOQC4/XnS0tjxwlvd/xlu3JG4G2zQ8KBsf+MvnsC4UInastX6SyF/dybzt
Ou/SAxYLFZwCzix2Onv49KFDGQB0RWmdsHWyZ1mtSt44A5LmhaNfw01KAmvOrF1H1yRwYdyGcRHr
oZdr3eiPDRbVao3hzZShIDHVqjzze9463s9+zmk6XLeaKqyEn5MkeOfaPxbvcvTOMA/fyB8ZzPt7
z6coJuNEdt9r4NhDOKNbNYd9YKmMV/i6Fqa9bwVFWOkROfn7L/bNE/58Xf3lmwXwsfLUYd0+cn6Y
UbOvfu0+DUGxK4Nzed1bEe/5UieV2AIHfDJtlkJAogjWdTjIqT2X87z5sriDt6lASn/9ZD+W0jO2
mhOLRs3OQspRK6gW0/ExKU3O3HhvLrUNeduo+THweBIccP2tRLLFV7IJGC9JjtY5tzosd+3MStvf
dBr3iEF/rXTyQXQFgwZZC8RdeoUMl9VTo9JGYR7t3P2Qy6tp3RRffnZa/s/vkA7/xreBs3Ta52GQ
p1O8nA1W/fqtsqYI47mfVDf7cw3SuI1tAxfwtAgUDn4Rkq60v8RqqLWr6TeFs5x5fq9OHpcsbIUt
jDLU/goMcsZkZC+wNLvYVJJoLO3841jWU3mmJnsVJsmBnhCnTVkMOciTYmJUM+YAmGTw+85Y3YCu
KQPUKYaNqj/RddxUg9L0Z1GobW9oQ8CPhorNTf/yA+60wdHExAxEt3jSuoNZlCrMU1RxdeaWfx2W
WQk1PYiHqCFx0Z/ULQkaoq4tgXBSpTePCKjnu4ohjxsQkTzU+zG54gTHkbq4yIYveZhPahJkc1Nf
OEjf358JXMbpN7H9GvRoKG2YNX5F9fVyO18yk3falwxjYImXRyOSpXtPuF/tTuxGYR6XeWY8JZ7H
u2ROen82kknxVzkweUvqfeaQvQ6l2y/aGlAYgSBidxoP4PnoeJdUna87eXZc9NVE0j2tIkh4xW5Z
y++GUX7nx1Y7xmOx2ejm+qGa1eLMIXwVlp4KESbln0iA5EovD0Q5MVzKgBFpcpJaVEBi31v1kWnI
c8Duq2zsZKGTUCsLDxVdj4Xwfc+jeLI/27Zk8iyTfrtm3yRP/8xt9fbW/qqxTkHdWJjLXNsGNwhp
/17M4suaMkiBRXv0/uk6s9AptDujJ5X0JgvVhRmJCrucsr9AGvTMkXlzGSIGJwPL9Vc9l3WYkYx0
SC+VSX2U1hygj4P1ufGzhcD2ohj+d6DE0wE+zd5irzdwhnJ5UTETrda+y49rPxzef2RvxFgWMQlp
hHJEFE7uKM2qDVFMNnwci7FQc+PTZu6P99fY/o4X9+C2EURY6SjrcP5OJdnybFJ6R7CGxeCjiSyS
Mt+lrpiu0yZGsVTm/XRTibWImRSaZxHppShu/8FP2NxqIeZj5uiehNtl7qd2trmKSUaTveijLv9S
XOJg69N0aq8Vi3mO1jWVM8JDb56UZ8uexF6x4piBpCUHUv/N0xjjHyJzncP39/a62Nie77NVTjIa
szZb7IZI8xWl22Y48Vng0gnxmTk0XanjstPv20GGpToe8XQ4vr/8W/EEpP5JfpaIfspeMZnjzQeL
1K3XHtpEbS5Tgcdpz398s4DwwYT3ciZWvr6w4dCjYEh1TH+CwPIyVkJOLad+4OWtlfZ5wLEPIzTv
0cUI0Pfm+hwJ961PBPh+U2qDsAAb7+VqlR7jF7aFLyaqr1CXvIcfcRaP23KM02+EDx2Now2OflWM
xxVekxkjcH4T2+ykyahLYbjfM8tv3Emcqx6EmVY/MGlaH5IRYSdUAodzZcWbz/XZjzj5StrCqweg
J3DjSgSe95BM9YOaiKihbHv/0Jxb6eTDwJzB8lCeIN9H6cBPXCbY8+GROYVje5bC/9ZH6NhkWgS4
N0SuezMzcYEhjpp8GFWLtLVaYnVwbktvLoPkl4auCDyQ0yjHwKOhCs3ZpviUoF7mHXMlEXqX/+Rz
e7bM9jOe9X47bxFe6rFMWlDbaglKN8YMj3ctH1Opf2FysTnzrt48/5T0yM1tAm2nkBeT+LY+LB6Z
SZFe5wWeDfp6ToXpzTXgA21X3Vb/nWQ/CHNQhEF/8/W6ju/EXNVRIYufT/SJG4zuoeDKzAP/ffns
NmIYmDRam23dhVPtrP7MiBnOcjdtzzDu+0f8jS1tzCa0q8i76RucbCnFgafy1nyr8OIhHFsVfQNt
if7BIujO815omL+a8WHAXMDqpoxYrFK76uzu1yVukjMlxJs7ebbIyf2C76inNXXZ+cKLbyAGQLc0
zgApb3w8MFjID+iRop532oW146awzNTdyqFrYcKms+/aOPv5vG0D1LmkiOImI3MvXz8pKEMqMkaD
tf0Qe1dKjoHNt/ffxxv7YAkogdsp0yGGvlxCWMrqyI59tNqFsxlxWcxN/qyS2DZSS/sVrAQ0Febr
6ZVbe6WMGw2Ji0Z+r7lrETB/fxuvwzMVMR3rTaEfAUFvOxHPgszUdtAZXbZhDRJLFtuddhl98gC/
pDpI8+VMgvj6gHHhkU0jvrdRzk4LcMZ2NZGYvJhxKvNfy3Sl9zqm3u79Tb21CnR2Emmdh/YqQBNT
EttNWGWZxS0WhvcMu5/DRV6//y0Tw7KBGONxjE/uNYG88pg5eY+FaX6NjIefpv0lY8Q//36ILUjM
M8nKsO5pTS/0XAIeVT3aUWYJDWcuDlmPgiQoyhAwDJjf//SjoxAhjCGpuql5n5wHvR7pwHV17ytY
jwausaLqoFvnrraTUtxFh4+Ph3yYDjKctldRQOoq+QdKBZCL7IvBmVM/xVsNRZ072Nc4JKJgoZUP
2bIeO0XddfWfu/wpJ5QP2Q/c05o/hpe2J/+/+6UwY8NR/M9+KR++Dc1/7dl53/zXb81/3Y/lC/OU
P//4v81TLPUXamYCKR1TJCZ5a/96Zp6iMam+HX1qLe5aFv23eYqiOb+Q1xJ6TYpZCM0mWft/u6fo
Jn4sfDYIMXNbgg4ZP2Of8mer4Vk2DSqCpCM/zmU2lDaLd3JjYVKHpZahTWFX5pYEP4wV50LYZZNc
zMus1/e6LC2690u5Ij7m0hEJzAR7jWtvSMoyynLDbQekuu1yuUSv2AlpWpvDThrSdD9jeZhmtKPx
niNrRSMlgxLQKvav6lwNR+RKRBCXokQlzRBNX/hj2ScGPLC5uTKH1Fgj1211iEYSWZDvMlvGdNfE
YnhQTKdAkLZGqeew4k2JryOiKGYZLBNWqpErmyyhKS7acW8+6ZAk2RLfuNgGNIGY3SzdV3YpahIb
e01vMry7coRBJrPcVXIa+x1J/azsRqNZWv5KB33Q2choCFlKLEYfV1Tm+01ntdcPLeZm6KCtGQaF
0jTSo2ssyW9N3Eo06xy8tCp0/Ou1ihius9NrCRHdvTFGKeOPaVYOaDAkcyluueztJUhaM74Bx7cd
DNqFKCOjkgKrUHfGS0pT088q6lKks6awHjUvz78R0xLnsQcY37t2ls+hOmr9fKmKSmXdRXrNlajX
bufV/VcTc0rlOraHer6XOWqCfo4qy3hAaRXnN0L+eFEg0FseLQX1lPsOL1pk+hRnWiZeGpjirp75
6/cJEr0iMNap+GGo9dIf8rRK75251Bxf4nWGcBY7Uo7Utlg6u2utBZkql/JXvLbH9FKkE4dBLdHb
2/qa+WYX1/H7+dxwkOoLGlEfZe2i7Y8yUi8jqTfGl0a6+J0VtYMvFsLus/iaTUTxQJ2K5Dd3tjDN
0qsisw8KR/2wzrOSXmU67JPjrEJPOGzy+gPm2Zn2MZnTaFH1NA1XJPmOaPEsJWWBfcCcHJmVyWrj
4qPutc59l+aIuxVqz09xaxOjPG/n2JiVmyL7o/WAiVVlKX4grI04DWAOT6bWrQ+pMEQcdZUq0qBw
2gVTq7x3I9k5jnZVKCm2or2cl2xfDX0RT2Hpeqv0U8gVdlCrTZmEcW6jZtVhaJ2G3tItzSGeN6Wp
NnE+QMAa9HAQ6+xEwxDraqAYRp7uh1md6h/8O3UJbauLv1jYZt+5aVxVF3aLNlgA9bnojmvuiuGH
WBxIb8mkCfxKU7HzMNjsg27CGvu4KFg0cxTK1MFbunXm63Jcd6oxHtKJ5sVQI8E1Se33JXED26Z2
G22JSaRV2GPQKEoCSjWl5vRgT4qxHGPdLG+cslbqi2R2231bCP0R3ZcCSzFWtfftPNDzkwViTBd1
0dhX0h5gehmTTpVGo+N3B02g1LfbHH9AHTG9Iz7FdB7avBsvY6VN0B0cUQxcdT2lFYGz3ASug6LL
TZlnkmuxM1X9BsPcQt1nWd9elJU5a7tRVgYicfaAj/xo6reJuZSXo4XkUdTiNo3zZOlgba+JocAD
0ElwiMY7/WPDTMHvXVMp+yYt0kcFo471Yq7RI7pRZqe+alUWa8dR2t/7ArMkZE49qX5opkILSkM4
6W3r9m52jWMVqjVZ2qHWVjdV1uwyhNI+tkM5G8fExmPLRx0OiTIiZ4UZsTvFCNPiwy14LmFdCe2h
wEsSGLBYkTwrk8lFmKZM1R3a3cnHHnm89Q6rhGGArTIRQ/CNig9JlXvfu3qO+bo61LTUsBNt0h2S
LG77KyHgtRiKsiCqExtY6g0zrYRWx5cPib31UNTC7pUoqVCY/IFCaj1dujh9bui4k5hh7yoTnr6b
/JyOhD2I1jJh9YiKU9x/GpLC6ftoyOr89y5mwjjE11A2YaJUXDoCSVXdl/irCx5zHw+Po+H1emjn
0x4H+rYKjQ6ZMhCQfEhDKO+ZvI3xKlSDqRumKvTALJzItFsRBzqeBHRnsI2zwyUZMekuZmHTMMqG
zrtCjm1BjKxKvS5EJ2zeAR/hFFp4+eIv6MvpQVNMg7hqcjsjk2In0dxbIExFY0yYLVfaHIctra40
nPm7umCqvKWgrZegOaYMbXsdj3ox7L2lV7k0plTPH3tNneOjYiT4SY8d18nF4KZlfvTgMRhBg+7W
Q1fH9FXrGuNGH/VU/GzrqUpdP2lRd4qsvKj3ozUnK+1xrxuDbl6wr0VWZRp9aWAav4d47mq+pjZ8
OqmXwxFzxoGmsMqcwA1RunxglCPJ91aDTuIBufyZgRS3Ke1joszYU+YyRJdJ26OVGtsXBZJYqo/a
c2FHUx3P25COhbt3J0pBYxaZQ3QE+cP2Ac+pJbkijCxf82T26j36aMsFZFiv3YksM64d3Lctv86o
0/x6MowusJCZUg/KbDRXmdXH8iKr3JCo1Ka3g+w89dIojX7c7vlM4Pk5qvdsMZPR6niTHa7Is0Hz
kUNq2Xcpam4I5o02V7CkA7HLjHWpH8hhEJVVlMIMa35fetQ7rDIDbLulgb7lWuePyIp9x3dyuc+d
dPhjGmPPubBEjt2j7BVr+9jbzzbtxh/C7K02SOc1l9iGVV1GRQyh/MjVHRuXnrbWeIesHd58KGnO
n01vLZwonRqzCEttXq8G9pQxFtTk373Z8xaE7RYlP7QeDYQQP2akKmK5ptPeUeqIhuOFU+ofpJTF
b0qF01ve6Za8qIpqHMJyYuh6txA0B/wXs+Sb3qSxGwAz4/XetgnS+EoKkwMRriVdom7yRrxrY1X9
LS+gjpPaaVr6SNVQHKEXNM0HxgJJk9oZE/L9U0b8P+XBvyC1qgDS/0/lwcu64OnP/V0XgF6TdSNT
BubOaORfdYGt/YLyOZZ/GChR4FHk/10XOL/AJAeL88AAgMusZ2WB5v5CtU5VyPABnxctt58pC6iN
gS2elwWUzEjT4CwHJ8ra5vhfwhrgpN3g5Xi4D7QPykPMnYjOHfd+cb3Y3ho/QKB3lKM9ItdyJEvX
AjxK25FmFXVG0BGC/NIYTNVnNGcRUW+b2BXiXzoQUSq3xe8kk8jiccdwqemuowZaYX4ohnko7uh7
m8tRxOiRIooshx+JVrhBUdiLfV9l4Po3nuyN32fDtPn6sVO4aSavvTYlLmc+pUn3ZZ3wi0esd8pD
RBLHy7TI4sFXMmqFS5Qwj/mMeOseHM11bzouybvZjD8he/ptcPRpIaaq9cfKXeqPGJr2zq5ueB+F
z1/nNjvAg8kvEOwpr9d4EpDDJrxzq0sEfQclNJirL/1pNsfpwhG5bB9TR7aXa4MVfFgugweUgqye
Hy/e2gVKnmt1oLoidyNmINsDfxpNX1jNlbavgGCRvK4Um6mVNeuuS3Nq01CH5jtd6wg/VUgRItm5
M7XG6kPwDI3qpinrwncHjTtLTYiWxxJ3YgySFa//Axwsz3ct/s1txBDcgG/uVPVhisASXU0l8brv
rpFA203iaTrgQC/6D2XjbarTndurl7IeBVrDuJskMNesodsXZScWEl9dfJyVQo4huYA1XNYpg7Bj
uqhTlNTmsu7Loq69qx7/lTVYrK60PhWLQWIt8Z/S911S9+Zt6SoQ/efcHT9MZefFPiKLOM9OtbkG
njuWafSke3hZYkiO2HenfbPr0v0sl4SSL491t/STobgltU4vGC9lfhBPhC8Qk42Ad9Dnm2SzGQq1
LCFVKvMPw5BI0eM37aweAoR66hamXyOhKZDmRDUa74mEv03J2tt0rOStU6UIWFAgPlDRMatmZmqE
Gr1uHdK0dRbfhGTP/YKzrgxShZk51OFyTHP1Bbm2zV8KZ3rTVX1XG4V7W+Ao7AQyHslfsEde1Eh4
U/oNf6t8ue5tnrBq1ZBNpT0XySc1x4jFVqgyvpso6kxbOlBle5tmW79r9P6TadUNiv6xAzW7d9Vd
ViOa4reL2lmkV/YqI28YljLUyzhpLvB1FupRSmQGVsURRY0hYWPcJ9Zg85wwgPZ28WyMaUhvcZmP
E4iXvVeqdTEv2swdMJ2WispM2DKVc/wIXrlpMDJH/yTJuP5borH9t2Tj8KeCI6iBLvYti02RY/Vz
4K3GFNgJUMB1XKCUe/DM0TYu51yBHDg0+W4t5fq5x2W62sPdGsovhqTqPMQMdyP0MFhdfYgXu/pI
GsAQipxmHJDVUjy0SjakN2aji3DdcNTIzbLsymo9GgtKrPa3JjP2g99N2nqlNIjAMzW1xA5fQDY4
JFF999mCDpHsYYalj10rxQ9s/5Q/pNE7I+zixPxmylK2e2+wQTAa0TRkO8mIHD44Jv2YVvZ6dm1L
Oh4+tr2zeWtkmTX75ToPVpAppZvcOc6QLZ+l1TRZJIbBJUaO6yYyg+okqV27jg8wWzRKQkOh7uwX
46qJkVC9bycNSdesqcbVt/CqWSNr0sr8qio1M5jZZUZSiwZyaKEqkQVl56BIOyzMhjEymOmHzsoy
RHaLhFwsGbpHL+n68S4WfW0ee31sDDxfzerg8jOZWyYgrTvdUrziW6r1jik/OopndsUxM5qejFjS
fFbKXzcH5xmv0CIUvbCrm7jQC/zrPUBIhJ+KZbjLlQnf6iYeUBVOcq0Z93OzVtlhQvky2aepmiRR
A9S8oGUem1/pPtUj0pGzM0SK2cuDzLXs0TPGX/PGyLVdPztSiSgN9SVQanfk/kA97X6mHOCEFLK2
P2xHt0ZKvcBXWvSg0JGmS3G9NugUHzu1KN0Pa9KhTqtIDKVlYuFdnSPfCMpVaHivG0vjRiA9gAtr
HGOm3QMN5ZHpbsG6wEbANWq5U0z+X1LSgf4VFNC9Zi6iRi80XpVReUgbc9VFgBaOfjumzYOsU24H
9LKtH14JeB94Vj6AgY2K+NKU/TJCGuUA+GNNR+zL2mw3BUFLtSLOtUN7QQ74u7er5Xww5zw3/apZ
qKFVirZ8hxmdWdtBqqcfnUI6m35MpUyozcr1woRuoB+wJ/oNckuo6InoD7WYZ/tiUtwUgMgd/Zlj
o2KAjvf5MZ1NZ4wWJH6vBXL1JoHPsYfqwKc99VHSt+WILG7Xf7elOmCVrg3V96ac9Ciry+Zh0dwU
IcJ4ye2j1pjfsJnPu6/2YLpdOBpzZ/v9UrjOjVOLkahej9gLQ72rs0/ICc9raBnCGANV6wuvDNPC
u1yTyek/pDX2gDnWc1v46adIxUQVz6ZBdX6U49w/CpMJJxwCNfX3NW3sj21ZWy64o2hbX5Xl8nEy
ZJhAXIDQimL7d7fq8snvUby/nnp01/yJ9iTfMA3Ru2TA+iB0hJPdUW3PDwToXnzAV7bls3eq7L5S
xPXsJZrlJ2UqMt/aVI8f43Xsr0rhzvIYo8Tb3KPs2qJ3281FVYIQrlV+t45WmadEopUndpHOsV2p
wUK6kbXRhClh37h+WSVatZfNaihBZRe5dhyVbtA5OhTDdqU17o7egEy/wpSfPlSoTrtf0XVKP2vJ
NLpBpaAFHnSALVzOsy0fjEwDQFMbPbtUuqrhU8t1+bus49SG4D6BBySe8smBFBMZjVw16kdZUNor
NripAm+E52Q07t7oVjVlVg6veycWehfkho4Hfa3ggRDAqHTlQ2dWLm1JpIuBJ7Bi1x7KJ9BCz5sb
Z8MxlHiDNJaMrz9QGPhFM/UJ9lgSAzuIJzAk/RMYeQJJbLOKs+sUE8D0FhqoFoyxtqgf+t7LjGPr
ZOtmRgHqkizgL0yDWf3NquH0fCE2hGYyBmUvNtTGcPvlI5racFRlgu3zoi5OEbTOUBvR8AT8ICdR
XlobGiRKAzecJ4jIEvGigR6AHDlPIBJ+Rbp+UzyBS0piKNoNvxvQaVq34ru3OypNnB4TFPM3iGre
0Cq9dcFVnyAstBch8ScbstVVefU4PcFd4LHW1fQEgoknQKx6AsesaiirQGyYGZMh7d5+AtKqbCxv
rCd4bXqC2uon2A2vDCC46gmOg4WwWwHoRoA62DBAyxt21yNEUADm5U+wnto5QHycyWm5aJ+gv7Q0
FXAB6m6zAUzZadnSKfihzD05+BN8aD1Bic4TrEjHvrxDjM370jzBjukilvqHkypFup/RZ1MDseiL
E2VrM+phQXZVXAtDX5uDYsVAm1XbWonvdAX25hpAmB0UT1BoVeSKN4UgVnOGwYSCCShlh61dNU7p
RqpOvXxon+BVz7HbOFK8DXZdNgRWr03gZCUtf4gNnwVd/gP6CY4Fk7vr7dXEdwT7KsVFGzUConDu
xz/h3nVoVCzowI/rDQ5eNmS4lSSS4FcYam24sfUEIf9PmTwsx9/+17+oTVU6Sf+5TL791n37P//7
O5yB3+she/GH/l0jG+YvtE9RY6UKxkoY+tpfNbLh/sJIgrWJvUOp2Sb7/66R7V82h3fUAtG1tOEy
bSTl/+6dub/AQUfNG6o8k07wnLyfKZJPh/43ZgRr4+VJH9bh7zvhgM1dV/JbyNT7SBzz35JLqO/L
VywBgixQd64empOPR5F6cMJnj+r2zzL8ubXlSfcXugT5totmxqaaDPn8VMqknHGW1RmL8q2b7qj5
xcV0MP01aG71Q/4nlPMfbTRPKZPbWg7Tp6btbdRJ51R7cc1FXoi1RbHpAkmv3XTQ9soeG6Lo3Eob
pegZ5GDrSLvC6IbTsOkQIfH6EnLQCyGLpbb+YOLjWF0wO7NLD/rBOb7/7GitvloHdAWIE80rDV3f
pw0/Y2wU8cosKt4kTMxMzu8t1sJ3nTYmD+YoKQI8mOu0JlcGXgTV1a4xCuur1uBclkpF2VeYCqBi
L+LhMoOSf9BLOVLo18nFKpAE3Ak9e2xTMkB/bjEQyGig42LYVdXDautxkIxLTU/HdXdxHBORF7GS
qPVGUlDoqd6BsqK+HrVl+GhYq/soqy0xS1fFDFrPVi7X3CgKv7O0KacAz919OsXaRYpjXI+JlIYL
VadVbrnDKMfWfMbMpr2RyOJRTkpz1cd92KtuU4dVphN5V7NZ1mByy+Yj8gfGpT7UyWcrXdr7qhk+
OF58MJXmUzfGNtX2oF6PsV5fqyW9OqhUIkrg4F/ICjMR4I5Y/4JjDP+oxvx7WHdLlOgtZh6JMbaC
/GdK71Qb/aBmNIwwqUrji4pa+p2rNuajK9Q1CzFpmjA9N1br0cX9gAZC7a2W30q1/+bNk3OrMAVK
7O6CRtfKY2mK+qpkPmikSZNS67p5PHxXsIIuAoVGcUhZs2lcQvpy8BzpvaiIx+IgKoT8a8O1dsms
zRSigryob7cBy3hSvnsSy5jNYWaOhGZ392AP68HReu1x0LvrnBzvezdCps2LKNXjW7UovnU4mWGU
qlAgQBLCA8HBq4waQg7tfe/VUgtdU7R/2ODO3xZWjnKqdr9pZ7nX7Nj8PNIXuGhjzbwR9EYDTOBp
HKoUb/durlQgR151iAG0usAmS8kjhm2WCwCLmlvWajvqub62/Epx0WpVulEJvAGUiw6hfTkO8Uq2
hvXkp1g6Ji8K69dbY2iyb16rS0bx6PN/wD0d3xqizaqHOOs0v6K7YYVL3rRA8VlxoSZ15fnMf8ap
j6+Yu4buaPQJ9NMKLKNrgzXb+hbVqppMZNBIaY3UQdPLqCszyD1RXdPoLD83Xd9qEAXGT3HvWoeq
zeLFR/eOAbnY7mlOIbHHgxyY7gixbEFWE2szJQ27JXfvsNLA5mNS10CYWXy5Zt56XcXl8HlmsgrX
XYDFy24shntRlyoW6pDwwhx5LAPtYaOjUUBnBP2qciS1dkjUf6WfWF7WiYY9VWvQ7IBMmYWKqjh4
gyzLjTokzGTOVglHaJDyWCqtXQe5bi+3ssE76EJPZPVlsGxxRbcy8enLTTQy5vq6GL3mq6UXWAFU
WsEW87wZOzr5IxyxNNOF6qdO7QEyqupQh0nvxV9NMM1w1YENwrjmSIPfzev/Ze9McivHsjS9l5wz
wb4Z1ITke3yteskkTQgzSca+v2x3k2upjdVHj8hK2XODCRE1LSAAR7i5jCJ5ee85//kb4bWYOpyk
MTR/ZiqWnS6a4ds+m61H6qx521uNurf4yVs54aN2pzYsYUEIY48VNlilWDaRLimNR//HO1Lt6LnP
I+NYi3L5wXQK7Q6jAxKAZCd+7Rdav6yrxE6uhDN7eTJDWVCV+lZXG8cXlj1KuzkpO2XTAYnVG5vc
oZ9KJdfI2ZK29/FtMR6SJqJ5NWq5fKV3lojxU8jSYUsdjZ8gyl3uibaVt41COAzdW21Zm7wsyCia
jBm6fRmHbjrp4m7q7XDe6dpiab4JUSz3inyeduhGkABD1pDA8iLmny6NxpNwxmGvdPwYdR8InSkM
5iFD14lzaiThsxIa7UsLcQ+9FvuwtVHLucjdaqyJA+pY37mzlGcirKqMNMMJo4zRyugDHNGB3ZY1
7AdqiresmvqRMWrREiNWac9w/kTQhmk/usWYRce0sZ13KadLg2DKeeDW6QQ2vPB33WtpMTSQWGx4
+LrMrtjKar5V9UHa8+0NfEZJXnlSXUm7RjewFi4RX2seEbvVsUFv5xcEFh1tNSJHJrHCKzMna8md
CrXZanNespXRF7iq0SQ/EBRYN00cJo8RZFfJ7R25J1251qW7OA6Xa5kqnWGmU36LG73ZJnZYHeQu
KYOq0kcBnmDNPJvYigJpKIFw6qquD13brENoZn+pFRl+DhqVu3XbhFjlq8Op15TqNGp6dAdH2L7P
1dpW2b0V8nkgmATJEunv/Gmyp3keb+zEUm4oKoZ3vWqn50gTG6DMm24lG1ODGJtxNirk7r0UyNMy
foOLwc5I9k2XkMY3xmZ4JLyvvqdWkVxSS62jIzfVPeFU3cO4ZjbKU5bdikkhrzIhhsYncyfetkMm
fxuYHR6MGOm+oRCHSApEKwWSpGBNgWm1CpwyONk1OW7NtunFROZFFpUPkloxUMYywav5ZHd2azRo
7lI5u8+XYnzUac5T4SRemBkk+LR6qL6XQ9YQ8W5F0SEEHJRdJnhglrpkOye5Y5K6EEKxcwo9OvZh
m26ULjYPU27bB6LJs+tweDZUadnqM/k64/SNc/wwGNE95ehuhHfl0sD5BbiZWw9ht5VM9c6J59BP
pxHmaco/tqYERqfAzdjABaSrV61cCxLVij1lioSyUZehvrXN/GPuZ+cmt0rttUjL6hAWdXgsrHxi
XBoqBbyUefzI1XF6BP7haDT7Kt9EkmQeahhDnlZOVe5PKFtuwLBsydWLpicuRDX2czSDjchC6dwo
1KM30+5y6Dgy1MhsCh0svKuhDkoJy7epdaoOuhTrVQPnuqfKkY7xPMqVG9aaXHlmqYirmdhhr6zt
dEMhJj9lWc+l8kkq3lfxiwueEn/DPYoGr49y6WfRDMZOJw+MJlhqHxqccd660aG6jIGgAq23vJCk
z1NSt7E3OVO8F23d33HwzLSUS0QWUW1078lQmLeGFjqbsLAystxCJkE4DYeDO42zs4mx87hR9fJA
hJmyt6XFjEBNojghg8bE0wzI9iGb4EbVbS5ARXJxJrYJTFAr0vcEFqCPbCR7dGj7911WtjdT2jLI
HRZI5LIlEaU5JNlHx8RrZ6VTel6EIW3MUZD+kmjOPiI94wa3F4u04Llz7obQ0a/mOpSuJHImNyHE
6zu0kvE3cKIsSAmmeiJbYWc5ucYyqqVhwxtIfxp6g2bUyJLq3iFm8UWymvAICLicGohmmEMABIYS
jClXCzNnzxqUTnRGmi8cMfjMuUrEapUAVZdsWfNtI2q+S5XUm1uldNCLNdn4EqfjdCWriXzTMLPL
gCSk1HTZv7Srav2IFsDS1MsAZ251qqeDJIfzA+Oj4ZYC572EnninLkywW8K6Aj1S+qt5aFUo6u1c
v+WJpT4megxsiwdBeYgRD22nmERJf+7fGtEsnlKWw/vUDwuti5D1oHSs5FkVxsi7IWtzj4qwqJj/
C8LnmyiVrihFeZk9IWrfG6PQ9oyGO8WNm3rcWXJWHPQ8Xfb5WMOGoGCc35RxNIOpmYxj32Hs5Coz
ILEGDHSXUpbsSjUk42+WQqZV3Rg+6hHgW5WUJU0cNLt2Tx7cSV5yaEyKUUSnsYAdvx1whDJca5nh
IRHElgOYtPl7Na6plW24HcOkOFqizdhrk8a3k646t3IO32UJo2unstXbcRE1g8xpKvwS00Cy6qw4
D5JyUL9Dc3B4L4p4UcncPji9CnfGnOzY8EUiW36fVt2+qJTwyHLNjs4Qgao4YXzM2pQGStSmcp4X
fFdodPr2vbWk6qY1GCH0ypD7wIYV5l1jualzaoY1ZVK761Q000NT8e06aazfG2HZnYk+aA+p0eln
bZA5O9Volt4bi+nIP9jg/5+Y8B+rah0Vwqdm2P8uvv8TXbn6Xnz8r/9YMZfyf//XZ8jl//7UP0EX
HRrBP/RkDllCvxATDP0/AfMUNgwcvZjqy/Tn/01YVtX/ZHZAW43gH6khkMT/gC6q+Z9QlSEt4Gvj
rLr6fwVzuRANECW2Ih+gQlCfMTq49Dqsc1M1c7gEvoY6dkrZ9aJc9vWuyrxPT+Z3EAscg19xAq4F
kIRADXq2BXnoLxzhE06AaDKRMxEPPkdrQMsa7aw8sp4loRob4XTxdW+XJUS2kK5tmjKHtT7oZDU7
9eKRFsN0rixzf54GAVOZRNIKMugOtBdjGyKqmcuP2U29GM5uoojbFIVod10smwGnivSaGBEEgiUW
B9XmqLGjNtzHgy7voUjaMGyX/mj1Y0pvGYk1qXZ+nulZNgAf8i37pn6U87nZTZZabiateXHkQqZi
qBbAh4xmLV8JBpI+pFcdU6NHOxKozbuUOU8aL4MHBxZSN2GHjI/meiSSF4G9XWY/yiJznrp1muZ1
skqFb5kM/6FjScQOgpqWgT432jWEiGir9313o3bp8qb0dECx4wwYhYEgvxjDXG17o5KeqqGSqOxM
vS+9vrbCZ10mQgjEQzF/RsJq951j1DtzElT/9P9XggQZvGLqQiFzRYrpsdSFyeZgOAUTilLtH7pO
k2piSjvnR2VYw40tZcWpkB19m3SL/JbbrXUDc6GFrxc1gCSUMczuhYxdGEJ1/tpe089THk5uVS+U
LrJB3mGl9zut4xAHJidqusuLIMZ+gXl70X4wlGhuRkPYpIsCLPskRg1ngxrdpffVVZeCnqnU1Ny0
SQIdovFaafEkmSkPBZbjzVZqkK6tdnfD0LXeIintDqp270+mXPu1lvRvkcq4PJZj7SGJpPBEvlix
H2LSims4ND+I3TQCqbeY0Zi5va2tjgWyhOzUoqV3q6zuGRGUcbWgJdzGoaY/pEgLXvR0TcoYpOmh
aGrzG3iq7Vt2O1KNo2D0VIy19rNStZsEOGV0F7Udzm1pz2Q7RwkH0qj+sIXWQW3o+oFwGqkLNKvL
DwBbZDt340MspTpCOCqEfRoL4yEKxbSd5irdlC1MhDkMraCVyWcuNCsiXzox/Nqa5cd+TtqNwKSs
ch17OvD0dvRIUWBOXbwzeQBeYso/2m4od46VyncOh95hIE/9NFtmtzVGJdkkkE5fem0otzmJvn6f
ma3nMHbn5TnkucDq3Q7WKa0BNqYcwyvbGovzSnI6hdrYPbSZlhcuBI3QHxe5uAL+BbEY6h+zwHq9
EbXGGNioNvSt+ChG8COtCcJ9qBYYHSBGMFQCs3XnLlXiH2ZTzduqzPaj1U38YkxXTUKYt7mdJiAp
NK8hsNGppzHcQhjbKNrMDHJZ+n0pM8BztULqAxkeFDBJZgVJr7RBjTwrwPeXqNM26XdIFyqfNx75
hrxI53ji3/WzJHxHyPaB4lqDNVQThGyaeXTbWhQs4TzJV6MmvciOyDzsE1ZOYTFu6tIOd0oiy7s2
kzYhUaH7qLEo6ZmYKpuUKuTU9Unqgotl3kAYa5Aoc39gltMcsCvpN3WvE2isZxCtQq29gwhT35XB
UhZF6M2dvuthG1IKaE1Mhrfzs8D70CMoONohqcJWT24Ji55jxQ9zmUqFtXAql7B1iV0xr/qUAZeN
hmJrlhQ7kqxOBx3av2fqkFVcItuiTbq08YGcbuGXSzl4ILVaoDhxgXtZasBZAo2oxocawcYG6U3B
EisUH9DpZzZ2kNggDlVHBe9rz+nG6dqJ82JvAUEUQdOEb7KT6+6oz9XbaBjFse7H5rve6x+OFSnH
TG7THedm4jlM21270dN9qGv1XtR0SsQH236M6YKXR00KLUTRdwBanVfRIbiamVXXhMF37mAa8ErV
yFip3+pDHqvUQzGUGNWFKy1hPTJ2skZfCHE48Q01hMdPRQrONEFg9RIbaNCbwzjf42QqvgkDBwfS
qatAj9W/ds4q4LcWrHtQVh8ZwegbQzx60I0hjsGayp7scaQlhJ4DAyuxX/meqj3/b36p5Sij7K9M
wS+MlS3+m8bGyuXYM+wIBU0PxoKvbnJvIdLwF6HJV5Icf0+XuLzBrFK5s5phfq05zA4pPNy70iJ9
iHaEaThhZ3oApiau1DTFBkyO9BtpGJwgs9gwQvIC/KGY1Z0NLXZfoYR/sXIjgcRjjNJLmQG8jaSO
n9CYEBKcLuqOHFtpi6Yo8x0t7q95RERCIKm1tjEUM0JKlEjml53y2bW0pTk2qTx3rhCZ+UCdv/iZ
1VubgnPbQ/WpbEam0BF/bHxMSTJvLbPPXLOOJopake3zPqlvYHGsY3NH3bYRNC/R6tLJLHR7r6/G
nEncSGdzzJtbdW3CVBrpg20xHgAydzD25Hs9TWmCWMacknMM7dqbiZ/2qiH1dL35CdXqXWntj6V9
TeT4NonaaINvEq80jvcLczCvqMuJTgKKcpiip9WEonphY/cwjFu9PqnAnFAoLPMwapG+DyHG+HUy
v4qo745Zz6y8UYrS7ys+Q5HPijeiQ/LlZdLcog/ZDkdZC284FL81ODzsqE9Mr2mtyUsGS9oYeTPe
jUL/bnQqFEn5I2Yw45WRDfghj/IYFGn2NOEUuQ3zpgymxTYelEzwbRp27yd9pwWYhcru5Ih3UeUk
nWXkrKgmPOx4qNOgtKNsm8HAcdFyvvYgJ/fGhJ8siqBkSwu+xmHXjG0mcLW2L3aJKU3nCEYiX3l6
GBLohHk8JJultw9Fp95IE85zSu2gjVTL1O90PcVnugldNl3b1zSp/Lay/CNXK5sZijbzEXMJBUUE
bragu4nuz0UUnsIZCQ3HSQNa3Nb6Y5pyqvW0zy6U826f5cQUurmk2C48xO4MhtY+R01OeUTQs46t
6yD0pwHpFvHpDVFZchv5yWI9x2GY/mjkyjgA/UZeaCwp3Egdu4lJcZPaDK+EKumHCt7IIZ/nNzpw
yBjFujEUrewnZMfsY+xKt5kgJTmxu8BUR99Rp8diIQESd9bzPMB2K9OpM90hij7qRU6BJ7OQGbst
afeLRZZSaDfN7Yhy5XsR2sqmiWcrJsSFI1UqncHDGCA95dWyqG7LUCZghCNOC0zWTWwXNRAiE7Km
ZyGoPYSeYlGsI+GdN7LDijPAEKGUgIti2XGlwRs6yWG5uNo06Az/ofb2ZVrc9KUBccUy1Ft4PFMQ
6oa0DSN73LeL/u7YaMkaM0S11E82I0onV9+YZRoOn1/RbZVYfA/R9d0zkkueW0xo3TpnU+kMqb2a
5gGTGyeE7m9APwsSWTF+YNiwnHRkKbvUKFpPN6J5J9lIj5RePxQlsKOlZofFar9brQpjIXTqLUW7
dqt3pnounMyA/EqqhKdOzezTEKnfumx+jkyjJFxnHF4Efce9GVfjTZ9p8ZmI8Oqs1AlUGbWYdkrc
8X6xa148jPeV7ZiF8lk3ZvsQD2rhLwhxnka1tRkHFtox6cL5CULj7KVwWHdL2iSHSQurwJCx3+oL
5ope3phA3EunXMUyi7RDYuYPWG77jVD73Wy22Q/ViSlTw0EfXuyyV6CQMGzqlBolJt6JuVdmFLNe
yCxzr1pSuIsZobgtp5Cb5H1/rU/g+HiEro5p4CWmlom9Os9jkANCnpOSH4OC1wVUZ63XCLiFZrpI
wVxr1caGdBtUdp69MW2zjtGsqVtNHautXBY9sos4PyINq7YDUrsrxWoXFl7ldK+2U7fH0eikvW0R
RpspOPsbramnLpS1F2kc1RMMEDzJ++KR1IrqG1/Ba9SmGjTy2jxCzgcU16SRWV+ZJ0c71Jmz5qGh
eZoqOQHHyPyoItk5AZfHR6Fn2YOYLG2rNHX0NMQSdouL09GnRBReDpRpuW5NYA07v8W7V78Xo5N7
sWg/mGfBtBsAlto5S10o6z1COARtXSR976VZ2fWLPeyXocqOnV5kfizi5L5inBEsWmVs6QPr7SDm
JlC0XvMh2JqMGbVor6cIdcSiL89ZCSG9hUUBY8mpvGVSD0IesuMoW825Myb7DUKaCpdtwv1SV6et
1GTlweyFeupjnq066jrcVNjBQRcZM3tQsZofOdGViCldBVIeRdKB8S3lnK9aESOmaJVUq+Xnm2zX
sSe6YZY0bjXQhQl5TNk2jfh7UeTxS22q73FbavsKeJB6t0YBhM0RBV1EYE04ryRU5oJwd3U+l045
pVarnHs5jXe6Okc+X5O9QWVDmEajxrDXKyFt1Cxy6KFSRKxSFyanzozDA5zMwzJmzIcB0YKMAesW
svLM+cTqzSq99mLUbm6qKz9kyaw9pgbjFtPG2rOR+pzKSctZijKsUBEllO4h6yIb2p1mJjljx3I5
Ov04PSWytFxxUfRptWaimx7l+NTqWu5nVYV/qpOKxrWXOtzbKsWsIknjx1BL8VtfSNUPq6Lua6vK
RhRV6+aphhCKQg3MFLrZAHSMi/leYmjjJ1JZfM9SXQvQUcrIsYrslIcKha0WzdPPZBnbDpWXDdVA
luV0K1ox3bdlVTKkGqn+VKM7hllOjy6LvMoxDAude9SDax5r14o7lKEQEHqik1JvnqQoQJ1VfrOT
tZNuGDU9pgw2DZ5vgrKMtrzZCsPOj2bZqjF7yzxdL+zq30o1mk4cwsUpNRq596Y+zpFvir5/FU68
Drx6xqWjnqjLpmLb+5BLRX9ktXK2dojNfb2frcrTo2n8sCtZztEwDyS2dvT8yCz6+SlKm+qcyfxU
j0J3wH48zUy/Kxt4vVGrr2WqjL2nN9a8O1sJF+ZpehS94108mMxA4+kHND31xTar5n6cm/GjMvk9
Mo77e/wZ+M/HCaE2VAH2EnJimhye4WLEW45Uhd4oFMtE5AX0uk0llfkdew+ayG6a+F1VHerF3rCK
9MqZpqH1I0dTX9IJWw0Y9EZ+iqIOOu4CD3Kb96KkihVN+r5YUU8PxaAdTWGdj7AVcPyQYLyHoL89
R1LhtmOXPenpoByivsdlnkFNdIKBjKotUrRaDRYxMz1I82U5mDV1jVu0hXTXs7EwObDrLPJRDdQb
eWqTfN/ZLb+0Xtu2+RzJTPkZp01Fcy3KWv7ZlhzR+tRKhM+VueUVWG4aN2Pbjh9R2JfRJpJtvJJ4
ET0kJwmPG/QCuQZ7EpGZBzejzq4WKSI3djKkNN8IdKE3i6oxr4wmEd4tvO1nNSM8xI9TNbYCyaYF
dZwkV7E6V/pbrSizzHNmQ1p9YFTxlunIqBnpyAxHZ8OeH5eprguvSSy584WcqG8q/xlz/i5ETin1
qHtEgRiUYxeKtDvDEb/rZxB9zxpRVvZy3N93tSWeVQghk6/GvQkKgDpids04WXa8FWFwiDVmC72W
iR8cSSkOwmLsYp8KBGV4xAlXHcYW4jKqfYHefdPgxLsdo6x86spZrrZiGFvkUSOCPzXDrGs00jbZ
xTbcRFf0ZThfJ6GZOx7uZkuA981CzVH1D8iN23BXZOXEV0of8iBErlG0M5JHPvtRTLq8VXCF2RR2
jCtDWOOpNqCngSHBCKJxkZfmvmRm87e1B+SBCTn/UVvgEKj0bfID6JUHIf2EOtDsl3YMA76X8cwW
2jNsnUaddz9ao6c5c3PMc2m+qRO0owx9Z0ThTq/4g8NG1yTTULq57BBPqXZMKZNKp3bgg4frNllH
Q2m0x7azScXN8Z89k/1a3U5FlJ5ThpGEG0Y3c9YdR10ZAox+MIVvZ+OdN2qF4Jt9UMjDc9eOxruU
oE6lpbN1P2sdplRKDk9Xm30ntmyvWrrmWwqY5cso9I8qedlbmwPqUHZJdEzGPtyLPI/2ipFHHvbz
QMRY8zw1qlUeTcKG9t2cjrcFgpVuWN51vbIOLaDQwVj9bsa6Hs8q5NttCGcpKIu8fxqykIMf7CHQ
oY4F0kKf3JpDhqjCdB40vUn2CtDalVYUPvmGJ34/xV0iSv5ssuQgmybxM3TS/BCN9XSs9OZHHaJ+
L+SPUpfbvWPk8W6x9RDUpKiPBUN/PPq2w4CCyAgNOwitDhpaFzYbZ1nYGMtc2ljCFD8EbTBMB0qP
g1Myr2Rw3m8teeoCzjJpZ8dx4fWTbHlQe5inmlN90EfJ3MA4mu6TilqN3hqZUrfYu3i0Sz+RV72B
qW4tUW8gIPrrnJn1grJcZ9Tv3Ds6xhxOn0PoWkq3c+C0DzEFa9cN6aOxtAunH82sKFfpvMx/wsBA
8kWnWjeiVsNrkakRm1+DoGzsh/ZRRlN1zWAUeV9vYzteDafakit0E0V7N7RZfLYjkyFSuUxgKeVs
KJQMcnY94rzzg8AdNImzjka7LPXqxzzEsuL2FPCvbcRngIyw90yKYCSHXR6+aSHTVCnqqkDu8vJm
Woi0azToLyi9nKrYRrplXKuZzFeIAgCKyBC3mjuXSx37Ql8qHolaiJ6G205+IidQmAXKg/3YxSTd
bjX0JDd6IaffGIN3gIf6OH/EXQQY2pLERHuwgaBkv1dwio6mA+Oh1qv81A9xuVWFCbrebpq+ibG5
yBwHVG2SHjsBWjyWc7/pE5OBIGP5BwmLgVUkPoy4+gzzOVr4/pwqNiBQqfYZapA2rY0teD0zyMJd
TddG/hLLAluG/b4bFnXghJ+r+aXPF7wDzCg7DgVcaz2CbMes1ofqjRrye4J1gZeaY3bf49jwusyT
geKM7TvCX+DVaWLtYHe69aGHNsqeonW+taamckAjcIUvVkTXrYLUB8CrhW9vCKv6WTdK6cuJ0JmO
yiujfdL1+Y3sDopEnCq3U9k1x8SW5D2U2+IJhz11JUeIozR2C228BuRJ0Zii9soSrynS3Z/HPn+f
L6GttYiUIcULtygbhe1nNy8lc5geKGq88pn2cym2a7z4/FWW0oVnGB2eg3BOxcKdGRss5gvicNug
rGf5Af/ixzmCL5Soy21TXu0C/9UbwmSIoZsOji4TQnVp7c/MuwlzxcQ1wapPWdrc9a3Yh0n59Ofn
dmEYpmOv5nDiohheA1IgRf/63AouHAOyY6rSTN9Lc5o3qiTqL+K0/ka4Xq9Ca0quCC7nCkriX6+i
KJPQRyVEA3s7e9q23IYvySM5YV50Q5TXNvN34V3+/Oc7+9u7Wq9J/CSfPLNFnE1/vWZST0lsUL77
5WxitF9s4sS41SiB2+YLn/O/rMg+EaD/eoifL7USpD8NHBudBGUL6NY3X6X7yW/umtvk4FzhIAnI
9kAwprjKD5LfHeW7P9+jslKrf70y3FlDA2vnbsl/vbjJWtW1Tuq4yfp59oaTtov9t+XWCDRPeIlv
fUVf//tq4XIODG8y2xU+hIvV0rfoPLuQy+GaMUs3tbFBOLbJguykRWeFjnLPZbf/1mWxdVu/B/Ai
zrFfny+QhNX1XZz4ckDb9sCHTeLFIzwezzhUL9CKvtmbLx7s+ldePliy9v5yOTRg61882HjEdgXB
ZOxDVqy+w+L2qg/lznQVjzHm1xT63z3YVYigKev/AH1/vcMS/G3tPRiPm8Jj5nEiLPuLW/rbVBw7
wM+XuHh3DMrkSTHZu4wwMIHZFrfYSr75xYr82z7MVczVGhYXPZPo9YurWE1l0dGwQmTmyvNMR9de
y/b4xZD/d4+Lv51Yn5VYCKnh18c1qYpOuDK7vVoGEQWUpPyLySp80tzH/1zhLyHHp086Eqk92S3v
X8+KoCfFxs+Wr9b1754VZr0QIhhDwle4WNbwscYhVNdlrdR3dKsM67RO483YXziP/u7VO8zAbShU
ayrBuot8upllWBYaFzZ5Ga8WJl9Ceq675bzkR02/+fOH85s3Q2YUvrMY4ynUXeuff7pUK9CcDXRm
vkm+Qae/Ddr2zxdQfvNlwlOB64LZOq53qzPf5ytAfaTplbhCrHmm+rCeJkWQH6XqffQrP9589Za+
uqC5Om58uqUixW4GsgR7LHPtN2Or7IZd4+eLBzHDl/wv8+Mu5DTr0uMGeUvYBUKZUS8WN8JILRcW
Hyqs5cC6nnzdyzbFFZOtDQOBQFDHeqOvYhHk/nt7LSDq+vWuoe8Ymvx6t0rB7DrBSswPX7ECdD0o
sCrPVA6AHD7SQA+K627351e63tCnvdbiHeIlux7VhkFA3aVnrUREeqL1Q0IQuwW0OKl+VMY7HFP9
MtOeANtcte/8P1/zYp3+7ZoX+1SJ1JWsPa658sDLZtNIs/v/doX1o/y0bGIFQyHSFBEnZL2PoR7s
0H/xU0BthT6W3VbF71+1iJH99RKqnSWoS5EgzLE3+HrjGbt0m3n1htmwk7vZNvziDLnUr/3ziqu5
DFFn5O9crA4gQJQUHfPrYTs+0fmzGsXGOqhuuvlqVVwWjf+4FqgbQx8N47fLZYEbgRgNpUr85Kl6
wj7wqtymvnQFtznZ9z5ju2B4rc/NF4vx8nP/22UvVoYUCrwJkQT7ebsvHxS/4y7Vh3newkAnfOor
8dxl8fjP6+FiAEdvLa4urgctZsR4euRcdgcfmmj0ZB4KSCjgxq5yhzoQpGtb4OHogsd8cY5enEB/
XVszDBk24Vp7WBcnUBGCMCE7S/xmBBtB8P4Gx9pw+SC/ygv/7ZXWI4FegwtdvkygoM4qkQsAvA47
Vbc93CsDB7LWnz+63769tezQyB2i2rm0P1/AXQUJPywaYAC/fig2BADdpN+LB81rgy/X6MVe/dcD
1BWNhFZZVRiCr7f96SPHHaxSQO7XvVr2zssblhsbZiI/Mo/K/7yWi8ZTeZjdn1+dSn/bv/j0P1/4
YtVMch3VvcrzdGCKtRZO4vq/sTZ0PnILs1tQMPPiJHfyBNtJi1sLR5khozxe21K+a1ZW/5/f2e+W
xucLXTzDWlGgFdrcSudUj1DPfJDWGzV1yi+u89vN6/OFLp7ZMhfSYouaL3u/nNABXieB9Lp45jY+
hF/FEv72ptYTnP5TJhP04qZwru4QrXGtuX5XnNekps/Nv0rU+O0iwB3dIAUNbstlGmFVArBqIfv/
1N9r2DEQxeL/G++GO+BwZhs2LjML4EvkEp9b4mfqwwKmZdnfNOmrtaz89mF9usrlNpRmDXAfVxnX
Y8xD50p/96FdCddU/GYP5S6o8DT9Knvtoiz+6+PluakWW59B/jvc588fb4tLF1pQVngdptTGCpGt
cxSR1IFVhZHfanZ99+enuS6wXwodPtrPF7y4zw73j2oI16NFG70lfGT26lpC24rm488XusQF/nlr
iOwpH8nFvMxzsVtw3gJ2gg93avAXDrEFNpGvBYh2VLe4xtLti6/rd2uRg+S/r3iZVm2YfSls/J38
bn7Vy7tEvv/iluT16fzt6SkAb9SmePOuvtufX1fJ3KhjD0ZwrFskZ5QaTFA9/igag6xNuyvSj7rG
xtGzoWZXhJJK83asMVwyvRwLywgOhTk4p2LRgggylBuHRpRe07C8YtK6bRpE+VFVLVu0Dg+2Xvc7
OcI6v28xLomUAclhqs+7Msn0VV5jXeG3ZPzs1EHdDeqwPIgi7L25mtRnfAXwpcJIpe7FfhrSG0cq
H9PpLu7HI+QaFMDJEQ00yt+y22T2BLE7uW6EhP1jCJBRNh/lYr/AadnIS3RuC+NsY9Pcj+Vr3qnn
adYfYO/C0Mryl8SJYNxZ5m5seKHmtBfT6Fty+I5LCQEgmnQeK2OD4XLk2jUltITWbjN3+SlVmqfM
FqrnDNkPsxhuMYBKA4tBJdMr9SbvIK5G4xOyuZ9ajc9R0uv4q8Kk6owXmiFw6nS5aw0NErr1gcwF
OSjOOPzb9ufY/R/Svqw3bl3p9hcJ0Dy8auxuu+14jJMXIfGJNc+zfv1d9LknVtPc4rcT5CVAAy4V
WSwWa1ir8VX0imPCuHhqdaBnon3xBnTPugMW3Pih6SQe6QHLfeD8/jYM6sG0pqsUAmecvKMBEJyN
0X0uWUjO1z2HJIQZXWwlUeEviC0HKykRq6Hm9gqsVzc6Land20YAaOfG5sWGzDP1WzFMCV9avKTP
44rOEARNgFjP85fO4nB3sf3ERgLlApUsTtQuahFGPExed5O7lZM5SG0ntuhiZp/7uN3fKhCVXWok
pIrQAacXz64cmLyyW2jPIcqd+66Ct2zKpRAVnQCDOuPlVaF6Cdq6Ak5wXwLTkW+WjXzBJuxTGwwz
VBksLu5eYiM+AdvWBwYR8jc8Jlfm3aihrR9ZFUlUgbNxKSpH65OqtxKSuQ/mneIXHlAMxsOIDADm
jIPmUbZrh2d3zF3ayKTUixU0EEgTdqlSK3uZTDS5/uzkn/tryLY9GUlW1AVUzB5RtoeRNLlDJw8G
6F9HV3gpYXtJ0L6Rpx3Kmtw8DnPPNuIo01s6qRd78uJHzHSnrFcYugTSaXEa0NzG0Yycy083lYzH
B94E4MimX8m4ljoFyIZwSCeSnvov8krroGH5yJHENPUPSWSMbGuIktZroIyFIQJNTwIf5LHw0It4
rwGP4xW3nnjdogxQcXaOJ5TauCkGVCnyRMhsJCrQTM6J+JWjFjHqnQX89C5VxQ69m4BCzDELfJNn
PUBF5k79mmQlehbQR6FiBHyMUH8DGud5BMO5l4EdCnDUgNc89hgIeDYSOQz2P4v12NM2i00dxXVI
FwA0Q2/xFAYFoHtar77hA/ewT99v6zGo05cCbmFB7JG4bQz/larJrWphsqCNvuyrwz4QH3LId2yc
WAVgE2Rqcf4wMeok0VsNAF0tBITEyEmp8OyFfMhGUCrLaPhvsW7duqL69qo3vPoiz16o0FDR+mzS
yVgFYArf6uPyfb1C3e8wO0qOUQjcY7xol7d2VMhhZGImAsEDY3zAlNQb9QVA8O7YGG5nFJzkPXP1
FDzDVVT6MD9JbRO62tAOXmOb1AUtda12nnuM8eybAtPkNjKoHQKnytrJJAxQlBhNdXf19ITmtH0Z
bD2Q2kYDAKnVU6cn61dtjMIGV7/x00i+Jcim7wugAa/+++hBqvB/EqiDI4SC2UUZCS6OyaFDyU4/
agEQE6549yMzk6BtJFF7Uo19gwYc7Il2m92DRhn1B93G9MW9wK25spYNhSgk4tFIiIEVStRkJmBw
lSEq1BfAuTwC1YCzbqzN30qgNj+tR6MFBDTeVZLqytVPcK54+VI7+7vD04M6orh6AbBh4PqN08IB
PrCt8XJ/5MzRlwbWx0TfGVKpJg0PFgJt1lIB+ecKJp7Vyr0UX03xs94Aab+5Bt0PRyHywZ/EybKh
yoQITVMphQQNEwayjEleDGUhzLTyVXTE0DAf0DmVH+toHe/Q5ZfP3v46MtPiqOFpigkibRFzZ5fe
tFPaJczKNXXRzNleg68jOWCw5Dv6twuMRLpa7YweWFAOkRYMPM689wL/J6U3wqmrH3OuiRqZEA7E
zmP4PJ2bX4KjeeGt6KJp0cVQ3FNxNjzrbkFtLMcoLoh5/PY4NR7/LcEMILcrIV+uhAieBLR942Oq
xQYM2KG+Tf3kPDpA3K6+pHYd8BJVLBveCqRdWIjZ4QKdYm5jpI6mnwC/zzmL7wnjvQWmfJhhTBJA
WTDYhCz8K1hyzy3elz5INFw8x4+ygxUOxisRGMG2+ho/YwoNUOMA6XQtV3P3LY2nLeV5+hkFQk3H
8mZViJZBjA4iObYvguV6tgtKux5QBi0JUg8YIDitVeUq4iPwmf9SD+qgEgDVMZOwa/WwOAMZA29D
jh7An2Q4g825oOKBVQATFoaWsW19ML/opyEAA5RTXQN5rbo2UEEK0LF/rR+Wg2LzYhGmI9rIppIS
aG3EfM4M2aaMIZvxZjFhJMgvtQCMbpv7P9ixjdejFI2HJp3MCqna3hjdSFR/rWr9tdYXXksV0/g2
ciilhG5Be52IJ5SBhioJPhaPXiUIkbxEI6vfOphE5ITDHIl0w92EXuKkEXF9YDTcm6LKqVqBkz9i
mvuHUhrlPQW5kELMsyDhbNTeAKJcwlNTVk/7W8RTRL50i5bcK2B9gpTMQFaqxWCqFnNiObbr3WhC
ecIUrZgE5PG/RUvilZSvhUPyYKoPwrKTyjEHVriNJLaO/sT3CiK1cEmdFahJw08ImHGppJ+x9ZrI
wMpbf/zB0qmKoqHt0TI/da8obQ7i8hBqYWIg0Kb1Sp2Sx30RTFU2IiivOqIRGYMMHTzFMoB/SbzS
GpCdRYX0WIWArdgXxkxYGqhNomNVgzoWtXClouuFBrxnt/MkH33i3ngQJztxFh/pZZAwuPvymAa+
EUeZHuDGMAyJXK8rDOI57KVruepeaoN3M/HEUNZngHMLaJbw6IDjr1MfUEx2Lfv7qjATb9ulI8ds
82pFScoCrgRsjtTlx6OceUCGy37VX1tP9qWz9EsE3EmFKXjOnvGUowxk6QfUMLsaUU0GIBLztRCi
g7r+5GhHluhTnLHZKermVVJLSsBAl6KRI1ud+bpzEFA6gw9SE0y0uuhwdvYl8tSibuFYE3q08cM0
pMbttMkelgdT/pPju1GKupzQ666IKYnPMEXkrJjvbmpeYyjzst2IoO6lZpgmSVggQs9CbwBtaK/o
X1SJ4H8Kd4UWPe+v2r44wFVfGqFYkse+AXGagmweOveWIzrqzORKk+u/sjtQv1yKwgQDkAyEKnUB
7/YdbZzfImUy0GtWX++rxI6V8L2g31bQJqpRllCaUq+MBpxs54HWEg1fXwWv8ITVBeKjgxFetwEa
8lMeAA2jdiOf219HnNBn0/+QT1mJBkBGDYQJWNPb+rH2q4A0aywJQovMBVQsx+7fS+R74iiLAZAQ
0AwiqEtaRICLhHkKW9WgrHkN3tvZIwn8yM0eZbd1ilvMwpvfAY+xv+bMS+djyT+1MC7KLGTgj3Fz
sXGU+NuCKZt+RsFy5HXmso/578Wla+rm2KrNpEBSqwLltYxc8CcBv4o37sGMcTYKkT3eOOdezzJD
AL+jOwlfCNBGnBmcJeNJoO4Y4FZKWqpDgtoAixh+Swk5Z5sngbpgen1APXaBhMRq0JQNqByFEzbx
JFBXySzMYQaeUbxX9ccat0kC5qB9w5J4Iqh7pAwLM6sKvAek2+5ZdcD68mB4UoAZ7wDAJn7kxgFH
Iln4nfNEo7sluaEqIN0guV7JN39M5xpD7O77GXbHFbiiDs/n82yachiALFoGgxjbiHlia8S485jd
jiPwVfZVY68lJizQEK6hh5raLpDBrMmQLLiTwVy0gB4NSCVlztsxcjTo9UNRCmVsCy1DmJi6PDpD
Pee6AsZXt3eHHMmj9aC7yl3yqDmA63F47ZQsnTC5oeloPAdQK+15hEKSwDoLaU2/Fs+auCBrogLp
fX/lmHcK4P7ACWbIGIOxiNFs/EEHbOlpGiFGPFkvNeZrMUnxAhCGU+aUGIx5C23NQVEbicHmAbRN
99qR8wEsGwEvARobdXwGRvMuPyAuqmzQRSRRkzcdNAjGYfmV38Z+5+u2FTvFF51UNP/EYEyg0WIq
Bg256Hm8FCqEIOpuRGitxSUQoL0WiAD7ejG3byOB/L5ZVz3VMVUMIFt3brKrlDBLAVT2T0QYSGhq
mEwV6bijR+YCEIxEia6UPAHAOO6cNau/L4Xcsp+sHrN7/5NCTsVGkbKMwIc4QYoa4A4OskAJVo9f
u2P6Q6BbYqZOQ+HXUKjgRp37tQpVyGldQDeMbtignQ2pGXcGlI7T/1C8gttCzLrdyeweALcAWING
4kvdwlRFjwi5c4HuBMTXsrxN4xRsv7xmQOaTyJLRiYA+XktBY9mloAjtclEqQRCZTNCdxOtXMEwg
Fbk6ipN7AKxKHjBYzLMQ1t5ZWFKgl0oIF+lmNsD0oeecXMXiKTkoV/2hOA7HzO/+oNC2EUN3sLW1
CY52FWLqAhgfK5i1eGEYs9d7K4LaKXTsCrlsKFjA0CNpQsXFnIUrgV0xCF3MsiB9oh6A4GUAM/AP
TvJWNHUAtBZ8hkJpoDoypugh+WHkEueIsXwFxjhAOmupImGEubQOEIjqk9Ig76REgEdVnX61vP1D
zIylcZfA9EwT4Jh0Y0WNLrIe2LHk6TB5mt8+KCCFsoegOoM0zUPIEVRHgBQHxZfUA7Dek875AGY+
ZfMBdL8FWL06gMi/nwDRQVulUz7MV4ZjBI0PTDNenZEEFrTTApwv/CLRVRWp8yYPGG3NEkgL+x/a
8EBYNFThVhgDuX/pstjdX12m79qIoytLw1BheB2FMlcODKCxedLB8qS75XX0Wrvxy1N5/iOj/FCQ
nrLrLUCcABQDkVU8n+UkdUR9eNrXimmVGxGU3c+Yso5AA4EuozomLH3A+Vmq+30Z/7ByBlryEeMg
0KG8fiODJCMtBAi5rZ67H8Yh8dAO4EiLLb4CfNOzXJ4lMn2+ifhNNMT3pOjlYevBkV4uGRIDiDrs
OY69tXoWW9EG74u9rxwrsrE2ksiXbG7O1gTPqyTgEbEaT1r8rdFTW0o4uXeeNtT61XIT6Qvw0pF7
yHJnGmVcKYoIJBrZmYXpuK8Q+xrbaETF88agd/HUoHmj82Z3ujf+W14LgO/7s3MXt0Un2kP8J2Zo
KqBv0oHLjOD7chUBvwXTaaAhQCy9ohuAaVrxXkbElD+5i40MKlgr1FKVygJ6TQ7AwBxQbF+ZLlhN
fMWrA17EyzALVVMVjGVpBukcoc7VEk4toOmhEDD8TVyWJWn5BZvi/l6RjadUQuIadW5NkTA1pFIX
Zjwp5qyDVxBNI0fZKhxAD7tAZAa201P2J0kFIDxIlvaOGi7S7y9paEYVcWLqqqC6kIY3HRxM++qw
AgCIwMyvQl55MIdLM2hQXEhbScKqoc8q9+eXPnaTQ+aBxjsJCBwCJvfS/ppUz/kFc4YrhHBgY2Ai
hUw9UIupj2mVhAqED8CvTPEWsgyNEwMwDrKKmRdkqJGrRFcEZeaoQeiTJmMJ5RG5vEZyFXAHAfav
ab9xVpL8JdoytpIoY4+MAbjkJBELnLjGAQFRdOhQdAWEsX4VH/pz7hiPHJGM8wXlMDqqq3jnye+P
0I0n7DNRaKoRyhG/AY644i4LWm9xAfPenyN34BkLeTN+VvG3PJl6UwqVPhlzDxXlIAxqTDlHRysg
6ULeGBsjwN4q9h52bRRTBRhlv8IwFLU/4sR5QAJ0yh70DybAw9oR2JB9firXl/0FZbmQzXp+mn9X
jKQbJBmF+eLbkhp23L2WM69Sydk0mbLItc4x0BnCg6gBenHdFRxEQeJ0bnxoAxl8Ku6+TswzRsgW
ZKRWSB3x8oBHwD0DVw9sxBgxyoTZzVrn5c95IqgLWS+qqhQTIDZroAOQ7Sg+VzdDMB6AMtj5YngS
AhD9+ALnZLNiHBVBKKFVwLyxRU/2m0A4UhVdSf+bdwMeBtBNAEd+FBwlwAQwOmLdMtA5GUyuVGo9
uxWkzxlRdvS7Z+kaJ919HZ3qCCJwGwiULi89xlpcAzkp8GRYgDmhE0kovo0p9jZ1k/LLmIN+qePm
qlhmvxVBPmFz2qRSHttkxEKGT6u/eOOxvrVuEg02iQkC4OpBp9bveYAWrL4xICZ8aEatJBQbF5SI
icMkQ3agC/ZkNEn9BBqqFACtGCPc0e1cOgUvk8689LaSKYMdFqShkS0lR9BVYnesbomvFrzmFTQg
A8gPXiLVwWz1/+HKY7ygLpSm7ttYn1ahmaA0MAsNpyuK1zRdwKaJmacvQFScnQmEbIDcaOKZk01g
3YQGQJVMFN8RvtBJC6CyT0U+anDe2Qw0NYQs7W1mfcOs177DYVvTbzl01iIZR8mYGsgRy9LV1+t+
OIYyR8Y/2M6HECpyMHP8cYsISY/RIXcjT/HBR/ZVV2z1QbdVjKeDl6h2i5/7ujF3D4lwIMqAxwVz
jJcnpUDL6JSA9BGdqYMdAtHAACtirZ/QpoOptudRCPblqYygAoVPCYEZIQeWFeqMANVaMkIlxFtn
sHt39aV3zA0AwXmSm/vttWCjTu4b992ZDH+BQgDoRyD1QiYM2E9u5+Y3pp973dE8FLdgETZtoLQF
6aF12jO/ssjyjRdfS52rsBXCVFzxtfodifYNsAA+6a4RKGjtAMUhQpI/SAdfSKQ2ZBzAFpPlkJib
oV2HyWDPCQCZ93eBlcy/kEK9z8wZrGuZBinAkKyPCHwau0Yl+HvU2Jon+ppTY5D/rUNOXQxdvpKs
JtcL+VTapTezWO1FyCetq8ZB842f4ZfsZKJ9hkCwyEeUi98LTkLQ3mWlXaH9slTR1wfUOc7DmJXx
2n6LSsWAEsqckVbiW8Lvwu3wA5DSsEDTHq9y0QYUqYvFAA3rz+nQg9nZXq7fL2GPsyEMX3bxEdTx
1+UWiBhkQ9Lj6qqeGkyeijkjQOzmDuZt7dJLvw9X1WFfLOMqhlQV+VBCfiR9SqoArlIzSwG+W37T
6t7OeV1lPAGUnRlLHLZZAwEDcKo6UH0MhuLu68BeuQ8dKFMakikGLq8FU05MWygVtxgewdtogxzW
2ZfEuAe2q2VShjKoNVCDQMzn9qI14zmOpn6g7nbdD6XtOEbJE0WZw9BgvcDfmQGbVgI87tsigJMp
5dyf/yDEBIU56hoaDcCGgmILLpU4d6fqKhy/JYhMepWHAMC2AMMQLYDKoYef8qDxIiWWGiMyWcfe
A6/BAY0pX/f3hRX9gM4DhUmMJRAIRMrKOiSiwqbCA4SAGyj+fI2rxBUkb8zPgGCGJ6kw6HVKBLS0
cgsOrEXcyqbML0lK0jmJF2QioOqFICTTdAAsHfdVJF6feqduNbQo0+vNCA1QMjQMG/0Iqo+baVjv
6lxxKhWZjVh92hfHvPc2WtFNjYnQmTlwXUkAPb1fzGCW6jFvbgugdrElp/KF41JzYgNW6v9CS/LQ
3ITtZpIZQB9Hdb5D9KMjDChGb4T7e0+ufet4UTPLNJFgEzHVpIroW6MWtWvTYRg7bJ2Ql4EyhrdG
u/ichWS8jWHzogX4mvfYjpjPRiWU2tYiavHuH30RJB82yTH09vCivOVe8sB9yzGtcSOOOm0JwNxQ
64VKAEqWfMXNwDIPZoHH0UkThzznUJ0Nne4nL5HCWkrkbFC2RDCOWJw6BaoOeggkGpDeqEYHtJZ2
3fDe5CzVNiLoNgcVqNgjaLjIIRcdKbGR+DoowCV0ZEBV9c/VNxmpeYc3GsiTSjniVceUtlQjgQJi
BrtbTmGSYwDxG8dKyF+hj/dWN8rwwbVeK2AdxHE7t0fpINxXwjvypuKVQdtzLkzmMdtKo/I1wNfA
VKoGI7HA4G6TcCPy2q/pYlvBHNQBr8TGdCZbecR4NmcgNbvRKknGUgW2aGU502yDuv4KTM9OjCG1
X8DF4qf2eBtHft8IrUVBnNELgUcbCK1W41yBf3rRfuxvHDHrT/uGZqj3nhi0h1D71plSA153vH3f
M1+YQp98BKz8FWR5EfSfWKS1AuLoouxc5GUlFrhEy2vzhAD1ICEujXCgM2QyePkZ5uMAGXQZgwB4
EaJocrl0fQnCiQqkSsDQcVQAIaIMDB51z7gH+8ERjNJgUwjAnYBeH3CrOMkt12BYewc0bPCoYCYT
Q7nUG8iQ42ZJJhwHbbnRhvc6i1o58NOO+gjgXeUbUZz/KuGJpcKIXKpUDdRu6J/uH4bc8EAxt1ot
J1vK8pRb3ShPmaYroscKdjkk4FvpbkCMyAlTWakEFPARbgGaCEy1dIWgBgxi/D7KgfN23Yln0VEK
MBc70sHwYvBJO614GApHOPGbc9jafYimjroYFZMmTDjqkt6/SB063QsenDZrMAbXpgbEDpTFkECg
zVOrVtKnQy6C+HEO0ZsAv3mMAutc38SavRy4/ZAsrd6DZNgigIrpqk4MIgRxTCER1AMv/bXsVXeR
R/qNFAy+IqlWOrynBtNHb0VSnkURgGMokIRefOyeZa8JABkEf7lcozjBHbpkPaFw2LCqyKOBPZiy
yaXK4jhKpMxdQMy6gF8DRLhuDvIdvXjZd5jslfwtiU6lgXumM7QQR2xUnBIxeZ0Px30JrEMMtDFA
PJPXBuK6S+cVSUvbzsQ6mlk4rT2e0+IxFex9IWwb3EihtmfMo0VNBqTNyNBPFPmdE/tgYQKsj1vf
g5M8Pv1B1UODM0bFA2SfGipWl3pNNS6GqQFlYxnHD206/hyb5Q/6EC5kUNFjOY9gCFqjDJyfX+Vk
Bt8fZo6zP4nyt5pQ3r1B5X4RdaQ61ACcNw5A9SIvw82CgeLTcuBdJiyLQ1pTAc0IYhog+V2uWzVN
3TJkGjrkoVA9/JKXt31bYBncVgDl8krMEvWSpWeukqTIEQniD20U0wBsXt/+ThBlAbUOnhcZHGPo
3USiIwTYTQ5a4bn991kBgnOI4jmBKP70KkqKItaGAfmUShPdCj3zYwQyo+JxXxnGtmylvPu/TXim
SE01t1YOTrepcfqqOkgjDw6B2BEVnCGKQe8zeMnQGE33g9RKk1ldGWeuWjfCl1Bu5V+giozteBIk
V0oN66roU16dl5WLuJBKnaEoM0Eu2pnIGGu2jtw0qLdv0gJPscibAWMGABiUY8B4rL0hfuNGigxj
vJBOnS0r7pDrbyC9S423JVm6Qz4O/UnMQl7xhS1JA+Y5ILRRyKMez2KmNSlgbcFVrVve3NSeVDZv
ebNw5nlZnhYafcih/LkwCQ2QbdMc3mJ6BulqcmgC05UftKDVbe1ZPvAAn97Bvz/bzYdEyrevCQFe
j2E3rYskLIDBsxvLt+wSEFrJPTLVBxBPOEli519NkL0BPNNCZa8mFWF3/ZU/8RwYK5y7WAHKg2lV
KbSage/pPOFWu85BYOrVgCcTgv4GPciB9jg+5Q7vRc+KQC7EUn5Nn/Ql7YjY0S+B8RseX3O7emzf
R6l4wnjGRLk2YCSZI4iocVRN0YkAYwjAhZFXnmW6nI0lUSdTiqpCNjtYUrIklh03Cdjkqj9Id16s
GnUA5XUwUmRDEH6sZx3ktAisOLEHe61ADiKKaA2Dg7u80AAbk/dWTkKPFus1TJ4ehjZgOznvFLIa
n0/BhxjqFCRjqomjgMSHmrYO6Md9aVTtTvkOGnree4W8q/ZEUQYeFpkMoJ/3gF4+RYcSrFiSUx+0
e7DOoVPR7p3aQeM7SlJXmmBrnJuIt56UnWsAjAVrqoqbCF18wBQNQ5DrRZm3f9/xpJDfN/ddkeay
kpvIFHTrUc3FY4HmpnXIg7+TQpl41HZzLYgZWDOL2B6zH0KPxuk/gRSBjX+YBmXjYLED3miBkApD
EWf0L75J4fRsjqm7rwwrb6QDZ1wGGC0CN/AnXa7ZvIJzelgNtFOgOTq3rRfpmiSFBWSiM9lu+ve5
Tp77Z27URihl91OaqUtk4QDPhXmQ+uKqL97MduboRozqk8lvpFAm3ydN14MXkPTA1Fc1anw9qhP7
y8cTQX7fWJySgge87BHHLaZV3uV6Mt5netlzpLCSRRebRBn2kPZ1VxMqeVRyr9PaHjpknG3rZ/Md
bSjvcyu9DvdkW89Lac+/koc/eBh9fAAxFErPcorAQooNS8Axoc5vopxzPC7TFf5vsyCBOlUzyKxn
y0DdbxQky1PmLOiVGSx2IpjscwGp2v2N44mjj9dg6M08QqGsuZ6FK6vEOfMr8Q8eexfrRmW7khGY
6iAgJX2kmV303etaCldzah32tWEHcDqIFwxMdeDtSq1eXeZ1bAwoZSbPElpa/pdJXHzZTU+Fzzu/
bLP/EEetntpElaXKYeaa+RvQHb2qaDgmz/YQHxKohev7uOuSRIAEvTOdSKkP8oKqNuiFf3CWjvia
z17iQxKVlwnB8zaqJl58IClEJAriT2D04Ew1R/UguArnffkP/va3OLrCMiytXs89dkoALgAkxk77
EKK7XZfs8GFxcwCMxZzwnrOWNBVOh07IGmzHObhUxKtUejIaPRBrl7OOHCl04R5zWQU6kZDXsB5A
xuti+OCcnAfMg9UH80FCXu2p+4nmDo5U4sN3do+eGYwaMHYXE6kX/f9qZvbLuiH1aFIiMA2bxwvG
9hu/t4/mZ0wxTx9XFcr5vSA9DO1TO8fnVgGI2fhrXzPOETOJ4pubpdU1dVJqHAAFIZr1vag7zglj
CQASMwqzSNsgWU5+3whYgDQ+Fl0OTbqjOHSgKF45Et7HnujN2YogJrMVYUjl0hcQkT2L6C5DBjnF
eIByKr6hFMw5WKyN2cqiPKBRqa00xniUt2F6ny7PCxBATeTgwZbBUYu3cJTzm5YkA9ECJPXp5KGF
xAFGFcefE5+zt3CU95MHPZezGguX6m2wrmfDeFqmX30VIZ+Lup6+nDKzvvv3BrddQMoP6nU/tOqC
GMOY+qtZMCxbSRJeHPFuVTua0blppYgEzOcRqwPqQRPZw9P6U/laf4kRc+rufFAOlYMKlD16sjue
wbCt4f81GiF4X8K8Mjf6KlTgW1SdZPQmQjcVc+6Jt/7ME3BO9Z7ioHf5NtedTOQ4K2IYe7qTm2hz
HKxRFdU1gu6FmvmLkPpdqtrZek6Na0vl9DZxjJRGns66cCnCFIGHNZ7isLTTRfy7Y0AXMDEZBHpE
0Eq73Rg6RTbZqsw5BTwdKA8lC5M2DzjOrpibqWN202MpZI/7Vi+Ro/R5UxAzAesF8w40kv8a5mWL
nl28TCt79pP77qbDo87JZbgrwXldnQIjOd/6ezlzliueEbKd1odwhbIIuWxBN02a3YrHWsw9U2uB
TvlSxY2/ryZPELWUkpAPobhAy3SpvWm8HnoQgaBbsE/+4NqSxA+NKJevzQm4LkGS7IK72J7rt6z9
uq8JM4DaSqAcvdy2Wa+SAEo8DZgj9pLTjP6K2jEH1IVI9315br5OfwC+CYjaD70opw+OzlZcVuiV
xVV21ttiPAggQnf3lWN7iA8plN8fStOKhAbbtFaylxazU4z3mEW7KrKnMX/+O1mUvy/leDWKEbIy
knQKu/ZGDkWnjGY4XFF6AgLeX2pH9wDLxiAiqkFIU9fgnQRfYbRGTh0qhxIUkLUWc2yeNR+73TN6
6FLXwr4yMh0eCrSTpCUmmEF4uTqrF1+VN9Ox+D+wbJKDtONOPjFEl5mogXcPIU+eHNI1tduaFxzw
TsB79//mHtGjLmy6BTGo+TS/mpiomw9r6/Sh897G54h2fdZ5i0nO7Z5elAMZ8nBpIgV6Jfnk1wVG
B9C9nZXq8a+MkqbX66V4ltuQlFZaRQD7EBhPUHI8dJ2IllbsXJhzBHIcI905G7ZNnEY51nI0QVnY
P4fldbvKgKnjuC22XRga+sBBUgj8+0tPHw+9golWkjRcQC1f6bXdptH9/uL9Q7z9IYTaJNDVGlUs
IMDIMd7S3sZo7ldtyVmO6YlXMGGumyQqhO4UsAN0s5QmJnE/iPDCCITtJQKoreUVGBU0eFxFHEE0
UoWRF5EsaHC8YV0cG/NXr8bXoNM8N7n0n/3l+2ziZE4O4CygIdfQf0K5eMkoUMfUQLnY9T8ypEJ7
ELg2Ai/xxDi9RAywFTBLxeisqcZGy+siI7hVxmt5Lb7PYsQduq5Uu7wBQ3Po8jaL4QkvZVKG0aRN
rGWETTJ/KY+Sa1wlB0KRRN7JauuSllU+tcTnu+xSJhUJRIqIUnoCTs6i0V1tlDobr5rBHpVFsTGc
ObgljxiRvYEfK0tMaeMXq2mu83aARIQ6h1ozQPYIeGIuJSJrNVHtRm8UBrpMUNZShpIqIHg0FDBA
TI7kq45y6H4RlIwBTEatIx4qdzn8+xkSUmD/EEkFBqqclRIYzMBvhRkFS7qfKl464PM5u5RAhQOK
tKT5QIC/hhRz02LtZCs6frUacwupv3/QGDH3hSw6VbRkTbMKAhZQuOpd7TUMkHYLzKNcOdpX4rR6
b7gGeHXmZwKXE4rRO3ApnHr3zak2pybI61z1bnTT0RlvCWeY4YNI0+2vgLoP+uHVySO7DQbOg4bx
5ryUTb0AU4xwCxGxHDWIDlhbeDV3jOwqsVFddPLMXoCywnmnsRzO1nboq0dSl9iM0UPrptdgBUQz
0HCeD2iPd61gOJIxfF52mHEOIdC0wBlFABToS9yMG6PPWx1ga0piK+r3PDqbOqdy+vk+JSv5IYM6
62BMwK0kDMDSMgsnNU5GyEvzMEbWLkVQx7wz5lxcG5DxZGAsaG4WTDMP3izb42iP6B/Xj62Xfelv
qtiVTKQbATbs8wCi3xs8LsOuy2+gzn0+mUMCnG3AGOfKeS2mO63tfmhVeFQiMCPOknwnrhMyFnIY
O7Exf90/qAwXfrHIlE+o0EnYiBmkD+v4oK3moZQi31CHq9Goj7MgPO2LY3RDXGhLQ9ejTSoJ+xk8
sOkxPFXgx0b/Z+dOBA6zDfjd6+/ADDurS1f5o3i29LaDV5Ue9CA5DBHy8bpXXhOkfsnGq/wK8PmY
DnwRfQwmtBh/dRL/D0BtL7WmnEK/zk1bRzBleeiDxhLdxjJf0irzrJZXuibmsqcwFYW2Vdqu+UJQ
/cynobKCuECTzbR480w6HE7AerA5W0o6lPYkUpEHJrfmUKgatLlfz9ekwSU6ljfqgT9FzHE6Gvl9
c/mr8gim5wZ7WWqzC9ZExxK+5DzMZ86BoMtsTbW0s0S8zqKLxzaOgqQBokn9JibfBGXmOW6y8Xtr
RzmgMBGHvilx/AhKHNhf3WI6yt8Gf/UKN639hdsPzY4BfjtVelYRVKlw5tP7+Wswh/0IfmlXAqDl
V3Td5sDQBtTk9NCD1pgL/chx5/RoU99OTTcuJL4pTUdOxptqLYJ9U+TYPl14E4bJCKNIBY2glLRf
hMhA7rUKO4fwc1yhHzd/LdJJu0kAjssrMXK0o1vb81rue5mYzTuZ+1Bi2A9jd+iw0MvbCaw3y0F4
jL7uq/uOqrNjPfTYjIEbMssAsOJOd/pZyP3RB8JQB5jB0s2+C8gVLP0JvXWLrycAyk9PZSDzQE84
9qRT7mbIyroWLewqhghij4BlFI7lTbOfLwBbWVwMQjmlE59zHgACV3nK7TRz0shZj6OjSYhAPP1U
ILozXUwsd6PXlX6OXKF4TYYKFMU2nwofe8NDyeR4JJ3ySM2Sx0UsxGQot7H1qXBUpExkIFfubzTP
uKhISFgbM556GFfZabZa3a288jFPAOWGqqQWinoFN6eiyILXy2l6Y1QKz/nwpFCRzgK4LVNdoYYV
gjk9bOxy+depnot7lk5ZVHNWVgaJpaYkDtZ8wsDaQztFnjq+7e8IZ+PplEW4gOt4IFjRUjS4MQyg
6o3bXNM4Do0XLhnUS6YXq8YoIijUu+319GxczVdwKbbyNt2Cb4hjZhz3SReUojAxw7jE/rTC/ILi
6pdumFzLAKlnNXgZEAFAifx3MT5dYRrKctDWAR5M1q+kGejo66/9jfqHt+DvC4+mKI3jLhcx6I3D
D5a3R9WRbOmnBQCjydV96w7DaQB/lw95wEO95G4d5RvQCplMmOUltFDySfMxjeqEvvyiOAQvj/cC
5Nkj5SGsbMybqV+RiVHhhELL7STAzAv/4Swmz0IoP6HroKkWc3j7eHCqN3h4fwjUHwpUqw/G0+Sb
L+K1Wdl9wAcF5m4k5T0MNepTlUR/QmyLJwn00sAPNX5mAQjlgVjtt6f2TjzkjnYcCk6Iy3RcFoa6
VAmkjUCUvgw89SW09FKGlRrSbGvDTbNIfymBMhbNrKJ0mFu0O0fpbSiLj2XIQ8FkG+RGC8pG1CIu
Uos89ao3NIfjpu4P8sPgdiiSoCGJ47nYD6+NNMpUhhHVBEuPyISaJojOksbJnWG2K8ruef8aGqGG
UYAx+tGsZmn3dWQdlVExz3nZjD54EwTfFBXLUbVC/DYmK4ZUq6jyRtkaDuoYy9d6UoI7MY7r1AZD
CsbtejUV/X1zZx0qFSk5UTGQhzDofkUMYHZTQoJzyyBSHpfsqZzu/k4GtUyW2uqxNqEa0qSYsjsW
dWlnM+eyIhtLh4lbPaiTE8eDoPcq9FjD6VCouWZ3k3JXJN05rLR/31avmFthVEKhNzKUdRYolCRf
kULIlNdG52B8cfaFzi3mdS0A2ndBtJKCtzMHnII/AK7c09Sx4jzQOEtH954txVpWbSfj/i3QV1f6
WQWI/OUWs5ccW+O5GGqPVAkgwmaGl5jc9XZnZLbE65znSaA2ZlbNBh1FsAJDD4CuaqfW/b4pcwTQ
GKBlCi7QsIQKqjHhXW7idKav/14EDiP+AQVHN2j0T1OL5qifEF/nseh0w2Pe/mdfAPOW2UogD/ZN
jkFIQmsU1hEw3771ikzq/6PuS7ojt5Fu/0of7+mPBAkO73zuBTOZk6TUrJJqw6OSVOAIgARH/Pp3
WeXuSlH5lG336tm1cFlDJIAAEIi4ce/jcAfetIWM0jjkRVjeTYel9ZrsTim3HE0c254DRrcA2g/m
XLFA67rzxfSSUlG85kvrTCvApIZJZmoibE9vT10Ix9YLRSqKuQRFDbiL3w+1qpMgT1oMVQRfmHsn
slPwoSOYdij/osHGopPIsU9mt5qA9aQisNDvVBGqalGqsGiBxSpW4MbUI/i4+vMyiazv6EFzN6fT
f0frOIefYNrfB8vZNiSYGCyn5TTFme7CAOnqpVgjJwZE5CS/S78bbkg2p/oXj51ROAhBn+1DDQLN
k+8NUz34tvJceGomF0ODNovqGpLZfyNsOLQyLfHB8GQjS2eoMDxD3oG7KWQA4Z7YEMdOwEMTszXs
cpn1jYnIsgbJoPtQLeKrNJoSG+nWQtN+FpFvwdWpcPaoa4LnB39cENPOsymyS+mgKuxz3fvQKuji
jd+l30+M7OgSBf5Eog0ZFHf+eGe+25QdRzksf0j3w9JbjcDIXAWRExbPxb7blyvjqfzyudFpT328
iqF/Y4HTmqAM/X7BUl90Ivd9hBTui+le5AKa2MyMKue5P9V/fGzh0Lb/b1Mz3/AUOmjpJCNjamfJ
WBq25q1nrn3rxLF/bBoP7cwchNB2UBSB0lKzEswwX2zU1Twk1T+fuGMegSY900UHMgWkefYQrovc
G9wUF3GAu7EHkCPmJ3IHR+Pjg8hlnjxIZe/EosDaNMtuqW5w2YNhaoISkSU5O1UnPO4Iv2LLWdtv
EzOHOTnG45S3eUwiOW5i/8VJn2p1Sqj71MDmSQTHbGWf2ZBy8TnZmaCSXadjnC50YJKzsjLptRcQ
dtUYPuimWmJHwMno6yC3xkXjS2/1+UIeacN9HyDObtgExBJG1cFfnLW7I89lxBH/nwULN/TD4Rmd
nhEDWfTu1IQfe7oerO4805CJRvegGMCBjPgB5BxjvpaD0pthLN1Vq3wV1m72qqFUEX0+4FMrPduH
LrcFr6dW8tr63olsUQ6g3eK7jJCldNXyc2PHN+Mvt5ptRitAI6tfYpRUXhT9Pm3WXfW39vu/TXxo
jxiHNrGnnWjYoNVO2cJPbpL8b+13MBBaOMBMiA/MDsoWxDTKZvASVoEe3wbg7dRD5eiJcmBhti5j
WwauH8ACHY1lJW5si51Y+VMWZovBVFbRfsJbWEP/xaFVlFjtqY7vo6V/52AY0zVwEAL4ULtXgwcj
0HcVIZSg8LBn4Q0eEdDMXDaoZp5K4x516AOL09cPLLa9k0gnDyA+lSF1BgJPvzyPh7fSWMmBnjj2
j/rzga3Zswi1zFKYI0ZXgXe8yMK+9MPgJHZqcqYPt/KBldnTSHvK74bpCsvOxTNNwZw80RJZ1/Hl
xI8M8em/4xh4JUOACgl1hDjvZxBQbTsn0oHrFfEZtJsjNzlVlT06cQcmZm5BHNmN5SQR3xfBtSZq
TQGsD5vevv38wDnq4wd2Zs6QMZ50aIzFqyXRfG242kPMZvO/8+LHK8W0gTUBldlsgeK492okOKek
Agjh0yzUg7tmyX9nZZ7Ul0CbIKuEOSM12zrM31m5lYXxEJ+wczQy+zWa+X1MvDH1XI4+777uilXT
5ua2Sc3EhTiSfGUlr8fl54s0Tc8H/z4wOLtyYwXciKxTkJOnurrI4tYPIfyDUr3fD+d0KOIL1ZfD
OcAJbCvTrknDz+0fdZID+7PDvIZcM0tNBCABlVHnjJdBHTz+dyamj3BwKNmmzPs2aEEHB5LpqWNL
QLbmvzMx27WOm2epPSniJS5d6kzfJ7F7ilD86LY9mKnZtnWakWaFDxtFfT3kNJTWHeHihDscDwgP
rMw2bQyiW2V22LSsWkw8MNNzLgErydZcTkQoIvrvJm52iFfB6OmmxL4yVLLq0+or6+iXv2gCZGsT
h4cLHlpQZM4r/7rTZp5PnV6Cse/Ahl5ZFfRGPrfxMTf0wwjSJSD5Bsp7Dsqnpc+YMYHypzbiiRq5
kLtBLNunEkp+E77Wx21bd5sA+rQ/fe9/Xob/w97E1c/Nqv75v/j7i5BjnbKkmf31n5fyjd829dtb
c/Es/3f60X9/6z/f/xU/+edvXj43z+/+EvEmbcbr9q0eb95UWzQ/bOIzTN/5n37xH28/fsvdKN/+
+O35FXKMy1Q1dfrS/Pbnl7avf/wGgr9JNOp/Di38+eX9c4mfvHqr+XP5rX0RR37s7Vk1f/xmkOB3
G2RtQPpRQKmB2MbZ1b/9+JJj/Q7VGnCGgi7XBms19hKSsU3yx2/m7wHe11iniasMSqo/UvdKtNPX
jOB3cL+BRRsAbcf2gW33f/vXJ3y3Dr/W5R+8La9Eyhv1x2/+D9c6OFzB8IVPBhykj48wpbpmJw9v
CyHrxmrCrDeTKkQoKzYk8dAtJ4k2vlCDGPeNjzfPgpd19WIb1Tb2mwS0Y0FWbvEEsN+adlRvbtb1
L63XkTw0mfBdNMLHkoOzY/SXdZbi2TtW7WBFjtP7xqJSSfHEuAsycOklLgtlIXS2qvPSXQx6mK5K
qIKDid6ywV2CJjvnnGtSFJsqldmr32deunDA58zDlBqOiGhCq2+cphkPOefrNDCalfZH30BhZSQP
tjYAEHK6fKyjUtYllD8Hs584HEZ20UBAfe+QAQBFJHP6daIbqOykInljKld9WGQj2o8oURQyOFnV
X1Dm2Ps+YbcWqMvIYoomH3ujqa2QQM9qhB2X7mU8JF8yloA81R90u6jinHeLxNAjmPyTfiofDSmi
NNMtUTWjw86UcqVBgUaXyk97Bx+c5GBvzrRYtU7h3iIDNCZLkekBilHKGiPQQZlNWKca4va0SLxH
T/bdEJZO4vOFQFNEHTEn5i9OjZULPQS+yBURxVQoaq8BsniohA4z2ZqvXp7emqppUWMujeF7Kq28
inDldtsxEeMtJZgA3XYXSkyEc1lRA3SY+wk+Dtqnv1I/YV8lxKv2STdosVCeV93kZf3m55LuqCFF
cNVQZwQJTVIO62oQDQ0tu7POKR2db2C5D66LUcu1sG1wRncK7O4Lv87hQ8J0vxuE4vWUtzGtL2Mw
P5/bdQ3pQqdtN76d1KtKKoYCV+zkyNyg9y4Og7xqI7NGdODSgd8IXXjtxh5901043DfwDQ6EFYuM
V0Ho5KXzTBlaafM8c5eaExYpjxRPrZFXt6DfD7vKBNeMnWIL2OD+f6sd1z73goJhdbSRvhUGdAzd
frAe2oaD2zuLO0+s2cDRfOeiWW7RlbnP1k4hxdZAVgu/pjXkt45b/sb1e1Iu2jJm3aIoc3tbpdS5
hMoMBd8RNAbv7Uw194FZQZ/Rz9PgyaiKfll5wt2kXtttIIYd+KEcoDUeBfmQXgM+1u8S5fbfZYOW
q8yq0f3SK087YDPSLNJuYj3aXgn1lCFg9UqNYwOG8KAvngCJFihJW2a57tzR3llJ7l2iLRPaU30+
OgsGXvZF6bTVlS2dYBkbhb9sWWAAAZ/weqmGhp9DMQuQWDPzHqzAd+/NKhdrZVCyNBjnZzFruy3e
3MPOEGUcGbRlZ1Ik/cZxpNzygbrA7qJ5RolJPtzvXkvF0V8lmlatsMPjJKx6Kt+w7Y07p0rKMsxM
v1rZmZU/jL6uOXS5wYwYMjjSsscx8sY6y78gHdVmOHJ/wN50UsB25RDUe0UqA7Bd5UJXzitAkZ4k
vfg6NBLU5UVeLlna2JFTFORa+kZ2VXeDedN7LVloRcdt2cdqZ3dudzvaccXhR5JhjikkrdauiyeE
OSb1uR4522cVAWSjqYbnOq76daNt98rXmkeVRSBe3jMwyBpNdsF71T1ULXe+G6nHv9oQTRhC3AXG
eT10OrgQnRV8BW1huYmrkX9zhyp7RS+at2eir5epfJXxd9xDjbGAmnhwY4FZES3yNmM3ZirJqrQc
WYQ0TfptEBeNRJcGZ1sUPOu7ciyydcPaCmy2sbYa8BDJYs3duEXbmQlhvIhVTvbNyPvyXqs83iOj
Pq4gSklXLQKOaKxki5kkY2ioEh2Tfl9FRmXc203WvlFhQcO6qPywjjH3SZOVCxvcemEyVt4CG3bc
mg4kldLBJLvBH0CLkHOlI+UIxZaAo4mzTBNr4bZ0fEtyUq+AKG/ya3NoLXRo5o4KqQTBRTvFTG3Q
W1Gsyze3xHmelW63qxWFKqw26XlgGflZ4JroKjY1WXlZr5dBX7abqmqzq1ypYJ1XsTpLRnjmsh4J
SdejQbReAXcsQgrk6a3jdhoCmblEPyM4w4AEU23nrHlVAaTnxcRf1BCLvyRdm+6IGztfBK6MNTcr
N6yM3o88R/NnFVP5vQl4by2VSatbX6GHJQSn/ghWe9sAWZytBqSmxuS5IP6VmeWR4Uns4ADHJan3
vqWse+FovWnQf35r9lASjHGv8kVlMONbbmHNDe2g+JAM1hCVtk9XVdkhuaJ4vvEzFUQZ0FBulExU
YWFmyWSJb/fzhS+75ptEEwgPEyLsdjFwzc973RS49utFjOMBTdO5dyV7Uz07DtdgeVJtpkLHLek9
SdpWTV2XKG8HpnDu8yZPrllukycBHuNl3hT+2mTT/+uJlIuEVBofktljlA/Cxw2gzCTsh5g8Yafj
PxmXfIcMsIwgw+uvu5jwfdk05t7wHXfJSPlg98GGiwYNpWN1azecfUk7bp8hyS5ueNAOesFTApyA
ienh4N5Qy64zxLmusvyeMdWtDUjJWiFIWvxiNSZ5y8PCdKgKG8uydrgU/DWHqloWdlmJQ6IOXOOs
QOixGMoAHd0Oug7uiVc2N13RAzjuqWBTTyQzWmosWWxBoDtEJOKvEPzxpYH3OCgyyvLOle7UO9oR
N5QJR/HGatl9VwqmVq7kbNd2vN1lac03RMbNWWyMgMFazIH2ti2rlbRz+rXBWbJSOeErasVBs2Vg
4fRCtO+wu5EwfS1Mw32rvZ4KNO2PxqvX5JyFnU+cC6/P1M6NubpIAFW57StRQYmLgKvQ7ZlzUxWj
IUM/7nk0BI4IoVUPBhsq7DXkyeRVJtr6VWsD00TrnFwUdYZ+xDhOoCDDRD3d7vkZF1Z81gaTIEpq
ektv8BMKAYW4xQ3IEr1r0qx94oUTPIH4gDxnUHNc17qOkegp8QZeDrqRN4nH7etcx+xSmQVgNYYl
LrTg1RKrml/2Rl2eybqOV7z3zmzTLV7LLC9C2y3QyddD6JiGQ1n79YrQkp0DOAISBacyz21eDfVW
aEQol/gw7rKrgvhejUY8Rp7O0OMFxqpNNpLshoxJgKBEj1VYJIKekb531zinxpeylwg4aZHpbZf6
xS6tZL+xXFNZYU1Le4tKBIbVSMS3aevE+wGdHGik8s1CLERZGNtWZ70X1lWbPuaN6awL0Y1JBAm4
7rXyCvB8G98QlFFoC6O0tMqQuOS7iuGBJsuW3Jc1FIEr6lh16JhVu++8zENzpkjuNbedm7wnr4Dw
ddexGY93DHtkp3IL5yYOjgxRa2ZtK5Du7VkgMzcEJDTB9u9tfcWyfthXqHw/mRw3SGY5jbsy5Sif
GVpTlwrhGyLzwSrRFBcgkHTq0V76DTPOUe/0t4ahqY2EN3P3tRWAT2dw9Dnzq/hMlr3/VKQE78TU
VHh0lnX2PZdGF/lBgXQ8se1Nzuv4gfkiX1t9mX7BC8u6ycrRj7SMDdDkB86ejiq4oRKPp5B1jXmV
mW2wBSfMuDYbakR+NmQXiku1KY0xezMLz16wXhd1GMgE4T4sXMlMNluLyfw+w2W9HO0yey0cyNs2
fdFcVHXxY4BemLWS340ZEvjMYwl0fA2NxWxkXz+4SSXva6uKz+u2NaAqUTvkUdlGuRaly6+ajjqP
yuozFO2rADgBaiVnELbNVzHuyYVPDLXNrAJQd0rTsx7+emOIwtyYkvp7p3L7O9CKteuaUpqFZOhB
pJcY+QUvDXVPFPoPmrTuoNXniQaqrgHiwRqCDaFrEgikdbJs9CLA0wfVRs39KPc4SMP6xDWBq0xj
us5yVM5wI3nsxQQmZQVR8N6MqNnLNQgJoUzZBEG8qPxK38RZYHxjXWyBwzgI5EIAtu5h5lVxA/yA
tsPctdDbpmTOUaz10mHJLM53ogFrHQok6Rk65ocXnrnGN+HwVix7pwC80yRZjMnw0vbGSAK8ZGjG
s31eA22wQ1wUO2cJy2u2Erkq+I6lBu4YA8rKfGnXsb6wWybHcPS64WuVdKS4wO9I7jI/Hgj0+QzR
XmRBmlzWjoEwEfWeChVkxdAjgly5T3a8GcWGVl350Cvi3JZJINww0Cb0tUsQ70C7volpBMZjk4RN
W5Rj6Aet+xAHNTJNTmUHdahK5ZKNq5Vhh6lfKSg28tq/7GWAk9QdivRMN4Gb4U3Sm5cja7z9SO0q
quvabkI8lNqXgvvdl0AwvUI1NRhDN/GuKtYY61SbF7IqrovNJsXdAK15Mn2MG/gvngXOo9EnX4NU
dFemY4xXhabta014/uLikXIxjJ13LdI2PecpyoQi7/S+QbX2JrHjpeh0fmk43LyhWees4NPmunfy
AlpOjiBLNdb5Wc5adqUNxFyhSm0T2iylET+6blcR5CUrswsZidNbrrocRZpiTAzAvdABF/O0fR7q
3NgEzO22hhzBF2cl8dfOabMvJjXGeqHwItmVZMrmZ2hdvG47sJfHgIxetyaJo4A2zVVZ4nWsW8uI
5ICOdwR+gYOUAc2ZFZqN1YMYmNTljSlLuk1Gp7sflIWcVT7qhWVI/3GgBnq40hHP4DyhzQUHn9Ny
JNxCh5yXG6DDQoN0ushqLz3rUrgxH7S9bBjVeA6Ulg4LvOuHUOPWKkPPT/ET1Hdf0t4k+2EU6MuQ
eGfrBsmbBf6ff9EpcF+1SdFwoISE4YUVttAaWNxkBSFrJ6ytkeyBpvD3IsdhRCranrO25OeZXxdf
ndbMX3FLIPWBzP0l8gTOA89avgs8v3mTMdEvonX6fW8Galy0oN5JTmRUpxzPhxyQa5rILIFoDZnV
99lnvO6BCAx4EpZpdVNBarSrT5A9zWoGDlgLTNC3UmC1PAuSMrMUft34TepVYF0fkId+jftJhI1n
xm7g6OtDs3X613K2P+0hQQZNHtcFAHZWcUG8arnCg6ZA5hQvro1HR3yqZWqCbLybtGlIv0x8gHEG
fKzLeDKxrbdl1IG4pYvYAkK/pzvCT9mawUcCC7StPGnxMELfKehUklW6aBFIr8CJfFIGZE7S8efk
ucQEW75D7WA2edQiSla99+is8xsbXcRoRVo5K7Jhq1NAqXkqf2YKPB3vPQ8asE3nDyIJJwGNOL3A
Vst3RlRHZNWkj6eFaeZJ8D8NgoEhsAFURFr2vUEXBdlsGLBqZK3yjaf3iPcgtLsawnzRv1R3jriU
4uxn5dn/axWYD7bn1RHZA6MD3lC8LPxzpFoGT5zg0ZwqHx98chKIAmgPSp7mzEITKxa7VY+NbCQC
TEnjHlw4yk+23OIQxSQnNaKOOuaBwVkpxg80QpgGBottCchRtwEdmdx3aIX+e65yYGpWhtEg/sMz
vcPsLf01cJAcEnrpAkIrKpwoAk4hIOeA1p+rdWBv5poCcCrf7WBvUvE2I4jBLpPbiXbVA6LV/KJO
6G0c98xf9uZKCmXdml7NYE9F5vfmPN1MCgMQbNrGG5A97LNNdVve/gcSQ1P18hOf+XEaHJQeHUdx
koGYMnQv6GMhwwrogS4Uj/4LOXc26ao6MdAPl810bgbQrwG2FNdNMPNRlUCGpSvRLNVYw64zYcB9
OCjDXP387IdFjWkPfxzRLwszp2wJEUBzj9jjKIlbIfLY6VUO4pwb1oE88nNb06f9zNbMK/OKNEkp
MBo0FnlXRgkYS2eCoRf006siO6XpdWzubHOaNxAoU2Av8GkO1gq8T57uAmw3aLaCS7uDLIv57fMB
zTHHP/z+0MbM72tb1qhtTOsD3Qt/uJcrsfYWXTQ8lArUZByv2P9Ae+rYpQPsOPVMAtYaKNzNhpb6
YHcNKmR8ClevSpdFFGX+xq5WZHTXtWgsFJRaNNkZa5mCb7nxkhN+eeTsRFGUUM9BiALaqNkdm7ul
TysXH0BU5h73LQ0BaXfDvkbtIJXUWvtm7Z3oHzw6auqApgfgaUJB6/R+QWnMmZ94dAoi0s1wy4DV
V0tr0d38B1ffkbMa5b1ftmZXH6oQSB04sPWDewvsESvkFaJxqZC6hcz3CTc6bi3ANYQAzMSf9yNr
iCtIa8DapFXop1Cdy9d1NESkQ7/iKXTksTgCY/tlbbZ4sqWVVwWwNkn/Duea/LBnr5NNyZbm5lSr
6ZF9aAVgMQOU16KWZc5OGEBMWlHFBS4hxSguI5T+jHIIVp/P4Skrsy0hgthiSGSloWm7X0t7eA5O
aYAet+Dj9WL7oKoxp7vh4DwRpbYL2cECOuvYU1KvhZDG4+ej+HhCTphnaJTgH8CffwBqD2zkFoQd
AwWZSCiv3PQtaPnrOLkZzGrfNs2JPTyHE+LwAuQe1PyeAy0uBLCzhRkBkvV0nmVh+V09G+WqvS5W
/pVEQnIM0yf6oL/WFerTJ6AVHy4ciq4Xi9jIEwPtD93b99PIUsfoajN+TMD1qa85upMseuIB9WGl
ZiamWT6YReShXN7r+NHvljpFYtZ4+nyV5jw+iBkxBuhsAgxH8AacI1aDXBc8RxHZiN1yQSxUKUUF
xvKhTMMUJGkLYQ87XjX3cojvc/8UpPDjQTgzP43/YHzO4BZAQvx4CMTrwl626w7aRkOUiag5eTgd
nUzHJkBRUBNjmb1GmRplLtLg0a3jUOdfhFYnHOKDz0+jgbfbU7nPhCj9+9E0TY/aPPMfUy9buN5V
1ny35JWXvZ5Ys+kqfhd8zMzMDghjDGgBFbjH7NzZJYtiBV7grbVCTWk9hcYdSESrbXunL9jyFIj2
1ABnQQLPU+LhTnscK2vjG3uISKD+BP4Ktz3xZvoYjrwf45yOm6oA9YTEf5xASwTaBy2KrIuJRCAO
bbDM5LfxST6yo+5BbZwjPgZh0pl7AEJoVZ0KHh3kDEV7V4PH6sTCTZffbOHQIgfPACbIgYDTzNtL
i2skBdlTm4z8y1g2/qrmBlB5XudxqMYH8Y1Ata5YEpRiAJwZgLvvvLE8oaV95NjCp/CASMXRNeF/
3ntp1412xVvjsbRNpEy3BY7JyvqLMhnTufLOyMxHg6QdpBiMRwP17jx4aKtu4Zo3J+bzyIohK0GR
jsGGRpvNLNjwXBNCgmX8aO7UXlynUY+c+Pd+GYM2st+IFV+3pzCpRzbAO4uzgMMENA1YJ2RF023h
XdTxxeA+oeJ/wlGObPB3VmaeqFTMgo7GjxPbmFrn6ymgOR0ZTus898bD2ZtHATHlicD1JdGVmnbF
eqhvemktUWjv+xOEO8dc7tDUzPHBIWarmMMUmq0CCG+4Z4F/KgaYJuWz4cxu46TIUGgv4sfi/Kdu
Hxjm98FXJJSQlRBfPve8mRuAvBmECuizgIuj3ITs5vstRGk18Ex7j9xCWSMvFmkD1TKSLUb7BOh6
5uE/DWGjUuxXtKTOGzJdKtrKbL1Hq0CPZGYYD0bQnpi4uQkyAfqBTseZBM0f6G6/H8s4OC2lYw0W
k15APzkD91Nvn3DoeaCOpOJ7I7PjIA2K0uqtagrUIU0xLMto2MgovrQWOQpJq1OB+jyL88He7KLy
gKkJ+hyDctblvlDLiYp6YpYELAC4VhAi/tVIZm5xfmFlbdyMxMYIUc69anETt6vpJOI79GecuBxP
rNhcIEKDksxIMwzOy/h9h+Jf7N7+Nf+eLdc8UtKOED73YCEZUFcx7ZWXDJD/A/vwKemJeej+c94A
bXXxHMGLai5zkAKZVpQa8zblHQznYco7IMu9ZGppf29ubBev1JOtM7Oz4oPR2dGnqOZdAIZtuKO1
co3bf7mHAg2Y/deF0T/Ym50XwOkMQTLZ86r0oW5CqFLcf75iR33iYBpnpx+jPUSIB1gIyqkl2AVm
8fq/szCdiQehumR90U18zWFaoSKJqrqyTjx25rnQP6cJQs2gucar/gdo+cCELtvBVi5eA1Mvq4P6
A6zVxbnpIus7MeSbK5TgQqJvSYjK/PJkWnt2I36wP7vdhVm0buzDfrcSe35VojgBHkpvE2/ThbkC
jAin/dL47pyUqZ4/wz5Ynt34WVEJAA3kz/Pq5+nB94hg/gXJf4fIP0ySHj+J0bz1rzmeub5ZVQ3n
BsaYbVu0sU7H4kQnkIX5ki1PqczNw/if40LNxYNBXGLzTIPBKgibCIxrWMXrr2P94ERi7S7HVaun
P85qIi49VXA5evqjfkVBAo/7DDiu965aQP8IvAIpcKPslgC5aalLWt4Jy1oESfBkErmGPPSVJAoY
lp2HqnPcrD7fLPMAYTpADz/B7FLNXRNoGAARQtc4ZwaJiHjM3Gvo+p24CmZ9yeAx9iyg+ABWcbyp
zWxeSWvjVo46ta6ne7UHtdACWBaQrUF/ZKXOnRU6UBfFxan2zR+/9Ves9cHq/LIzSDvBLqzrKvLX
JALx7yZZevt2LS6CG1DNrEBEvCgvrDVg4IvmfliXl+WKrfRTCn7O02m5Ganix48z27cZes84xcfJ
ztvIQ59Lc842QIGCVxHUpBfuVQqR5v4ScKCprzT6fKVnzvbR+GzrWq1tcAXj8QVOiw3YQvBMVUvg
x36cUX+npeYifamFEt+b9/0z7/tw/v9rvPF+UK38vxtvblLxj3X9zF/f/vEq/nHbFu/6b37+9J/9
N07wO6CDoKsIXLy00SyD6/LP/hvq/Y6/oyeK4l/HIy627p8NOAbxfgeRgOUEBHWWAHBIrOW/GnBs
+3dkfi3Q9yBJhmAZpEp/oQFndtOgVWBiyzGnd6vr2+6c4LnrHBNXtjUs8zLSsRf2aMlIWBcZAK9m
3z73ULQb4bz7tV1dz7cw3ElGHX1HaDSbN6IGdd3IpJ96O8D3OCZpZ6cLX9Wers4zOqb2kzBbXcrI
Lnlnsw2xtGyKEL2dpX6sbF6jsAUuBh76DW/BWsVGu6AL7bbC0OuKINSmC1bGAy92YGM0rWzVBoB+
3CnVWwCe1UmsIXjo+wpwkLC04iruQipMIZoQOD9WGmGf9hpQW6P0rSZHAaYxvzKaAJ8dkHO70DlA
XBwpQd9RhrV2mDWJeklb+UDbsgl4XOZXJAGHrTt0zr12SXKpcydy+lLEF0CoMnoj/NFY0I66bwRA
9wvbqX13U7p9uksKlb9ZLQVbUe9a/UR173cylNCYe6Z5Z9y6haFujd6uzrwKPK1Fl6KBMnYafFNW
d/W3HG0F3yrmAysob8ZY11fwzDrMWR0sCs4ADhr5BDrvosCS2U0+GPUX126qGK0nQ7YBIM64cNEH
tU6ATQ4tv4kaIE9VDQghyEnqheiBq0wI/V4PvnENCG4FPRjuRWlXRyrQlxmlF0wkeShUDKy+te+1
SBeeyc6oZbB9UGJMBo9vSzmeN/VQQGaLiXMpAPyz3JGEme1BkdDKii+ZDCCFafEvTp4OGwcBf6I0
yFdSb9vwbsNylS/rwlnZLsBpMQWr9VKy5NztEm+Bi+hRmqoKncR87YXAZ6uta67zXSDNneM2L8mo
IV6P1arRi+RBRCrszHxHHfWMvJgGEjWOINR5C3z/KiPBfhx8FKoyepuWUGbSvXdHho6t7aLSSK4W
3oMz9Og5CBR2TlKNUSXQrdR6RnXXo2wXlpnF98pst6zM7EiCz2ll86JfG7QRG5vFO6fudpVjPhpo
t3hWDhFndULQWBVY/cJpTYHGBlXXoTCs4ilxkvIhp4BxhAVL/OsUUeqLB+bmu8QegJ02AVN8JmUC
GkuTArjcDt2YnhusleuetGW5GocJRuoW41ZKoEyjjIyAmrmG8GCHcnerfWtD0gYRQ+x7HlB/PHsD
nm1JstSyENQb1jaVfpsvqLSsHOJ8SnxB89yYh7R3+bkcGJoiXHQV3JI8SGxw7ifM3yhKmsgi6HfS
o8lvk7i/7gq/2gKJjoKq6koOzJop7qFgCyinlZIEAzQgVOJW5sqyi7Rf6NFCu11rAhauwHy4rVFc
f/NY8H/ZO4/syrEsy06lVvbhC1p0Ib7gpxZmpHWwTEI+aPUwmxxLTaw26OEZtG+exoiqXq3sRMPC
SRDq4d17z9mnu5iHJF92xFgud0Cr3ReixwFFMBDJzIPT4LcINRzTN2jJJTBr4U6BKct19jc8nYP+
EbtBKAyZ40V1FnFv4INyfM1b4jxA25zuEjXH5KO6xrNWN9612ahKHcC+WIgeT4scJxwEwk8dYpQh
Ata4DRHq6odBOsJu9eLqQ63nVRNsYLQvomy76QECI854FqV28THZdf4Sd9ocyWF0vwp1rAmwbGV2
3dc6DPNmqiIFubAMTblwrzJWgV3WERTbil73aQ5xlZ0yi08zhj4ksr24yBu7APe4iP4uz2ORk3yd
SLQjSpLZfuY0IqhWG3NPw6P7aFeWuGng1Na4TnyiR+bRLwtTvLhJUz+aqexCnuGnarQ9FLiu2VgY
QWDQ+I0nMMrZbQKLWDdLHCTNvCQ/xmpWlsCpraEJtGEWIGMnLW32dpdzWfP+0LW6iTLSLg2UjnrX
7A2tBE7hiRVbF3dwPlSFfY9eueJJWOOParc0bdArnVz8gfghua/GaXAihOG1G8z52plhMfb1BSoS
6EkjceOHtly+167HghOPE5phY2uKlUV5n2NYu1r1TbZbzRYuodJGPDEmX5Ihaa+9oU1wcseFveBa
G8cxUKqOGrZV2kO8rAQeZMK0MDEVGjCNJTuuXLzAs9NY+K3RVGBwpKgODpdvNw/2eNg2y6G+pjwT
erEcZ0Jd9jGtrj38LLr78PJ8xZPpHm9be8onzbmqazGH41AqX71mKZDEe7PjBHVjyScnT7yw7p3L
lYfzZWjHXg9Regys1VZ1g/XOuyQV1bzX+rp7Ku1K/Vhb2oQKfhoeXVmoNPHXFc02+mjTl3ZhrL6d
cVGQMTtKE6gCzSKBTnJefWFkVhXpK4Q0rJaFbMJuoQMZSKS3LRLy1n6RNdZRJMtNlKzgZnaWLO16
381C5jtrdHjNMPB0I36OYcgCROfFoTDjW0es6/08K3kWeGSgKPR5K9BoZTq+6Ao2RMw25Y+4V5wf
Cz7PZb+Nb2EvZdrsgOWpUsC1XQZHUp/tBICKScPLT017rnwV4yvNGtWWyV7p+2YNR6LSJ19tauOh
U22Ux+pgA8TxwPOwOW8Hvdz3cTwMwQryvj95xVzbodngUg3somua06QLRkuluhHwJavmysZoQEJg
t3o2h1nrropvOigjd3MlbO1SI6/yB05he95Vccyba2e9lx9cvqj8UG+ro587asVoLO2GR2Nx2jhY
y8ws9pat2PourWylvHXMJsbMm0yO4J0dE8uvjXk6pok1fLOnJUuvVbsYrUDBVIu7ytIJf/ewa2Ki
T5fkfiqW6sLBmgpUrIER9C022mb4oNa6mRxyhAL3WgMiLIiTOW1u0s28CfdeymY3ZqnuPvDES2tn
xLYpP2ZrXtd3g+aUrGCmok6BNRgvSWMrGAnnOVuu88YhexTN9GFRx/Fzg2AbrQyLe/5VtcdJXJio
ii88oAU9kuZZlDdlgl5iZ/amcrsMhbgVneKC+Wt1TmAxSH3zs2qazc6fRl0tbgV+TCuU6RqTOjKn
iOeNChLXpKQIyG2lrbNDwye+uaqyWSSU0Vm5y9jXnFSBkdZHF6HepWz9DJ/TW4H814b5Weqa1kZx
M9RXkl37s6u1auxPECSvFa/CITT2GCMCxx7M1c/MWLufxpqeT6NbVb4f3cK8TeLR2XeckXKK8zE/
Gevc3EzFOsxB7BnzTnWEnQYxH8/mymrbqfJlPTXJPjHzZI3aLpZxiKmYQNXcUhCWt2MIyo91hMyF
Q91q8z5rsuTGzNSVKLJhHU/mkNsPrl4a34Dv1bPvdU5n+PUapzMT/1Fc1UWGJrxyNqtWnVcGX++5
1h+XWR0C9nOxL6YstnkXbaTQvCYjX5rEqi76WMHlwXtFuDrfk+o4ynJM7jWrTzyW3JG+ybpYCV50
djj6vssXC71xrBrV1cLqwsrVo4gXPlZ+TNCoFtHIF02zIoivTNEH7uSK+YDCXss/MbvFAY10rJ9D
Q8uWZufEuVLsc4JmikDkVWze461a5rC01NG4aWRpEYPgmuW9gEA23ndFlRn4LtUyPtYYSgRzPVuN
P4952tmDX+E+ZJNPLV7Eh7jLjDqSWdf1+37SxP1qro5zZy6YwUJ8bFl/acs5xXHbGxpk7DTWFCNK
GgwbJ0Pa2rgbS1NWQLo0oRyzkachwL/BZs3BDXvRtTEXlei4HgqmN/ds95wU6Dz8EWPbRY6zG990
me1+cNq29sK1NMVAqobiNePTmADEoIppqkXf1RYmfCYfDvdBqs6fk9Z/i3/x/2+xTk39rxbr15gc
v5+X6/z8P8p1amuXmGMPiSONX/gbdK//Ua4b7h/MBRCOulTcOv/+V63Oj/DfqtjJVaZknr1hXP+q
1e0/KN4p1D1Nc5FqAdT4d2p1DvK2eqZZsA3sDYwMW/WsnXOvVHaWvVq4P+qRApONQ5F8nqr3JJ7n
fVmOAobD1BFD8qWkp3c2y1Zkiz9zEj/moCt3zW2/J6YYR1fUD9G/onM2z1vOHBBAncsFtHRAIPY5
SFeK0uQ1Jghty/5uoyWDLhE1WSuVg0XFEOLWbe+KTIrITapYUuPMw2EUsxoYVpd90hB/dRiqa/NA
R3n9oo+NdSJQKX32+ox91+T28lHL2KC3rvTXqf+MRY03umN7OXcEf69gRSvfHnroBXFNvUvhD6Bh
X8tK7kB2OE+6qt6VeqkOfrLE9o/etfVLb8Aeyu7QSnHOJgJsv8wncTfqTv7Z7pMU37qK3zZO+gkt
EXYvjXoee1qI9yyGA6AXSJ5BctSfYFLQYneXW5hL2q7P6sTvLbu51JJZvJgOf9xFptvytolx5Qc2
X91jKVr2LEMiqfhcKW9iVXGAn2dQIVtjUH1nsLXQavPylAIEyxEaOahZvZWo3cB0sv6O/dtg+1Ma
K7u6KtXFb8diePD0iZ5tm3e1X+LQ/2jMlXpdm5QWWkriX6fUSdDK3L0zVWJb2NZu+zW+/5ni16nq
JYFgHT4MoAYKv2wzTjNuCvtQzOOHOkkRKWLEKz8qpSquFb1iZwnIy8HClc7J9TJ54gtc+7LZUWlw
38yUFO52nOOrYS6q4UroifME82N5nJbBvicg9EM/1ILOrihdX+B+zIMR49rM2p9q11Oq5ZmvjOOt
mXqwumgEXQ7D9KUjqCWYmsG64ftemEHa4bAEIjc8tn29sBlTenbCvYEyS3G0p8nesmkctTACoyum
q8lRxxvU0ZybnOkrhfls98KfpJ38mOPaflZV6ew16Zh8E61xNxArnvoWZbEXWf0693t1yhWUxWua
m6Hj5UN1z2hf3S/0INodFH513Y+UCg5QjKobd66pp+bOoU5OTsW8OOmxnWuwkVzP7mM9uvn3trcX
chWQN9oRqAQB8MPEVRp2hugv0UYOL2Zq5nuTPdWVWOesj2pwOKdpKdYqmFy1goFg6kdZF/q4L8wN
9aF2SpLuiQjKHyUdORM8HZsYN5bWtY5cn3NXy/XWnKl1oDjpMqMucNwd5XR6Y2XKPO1XOxvmfW0u
2Z46OtfSyDVoOEV6bo9DCGmDKEuNeu3rXHl2HBjpmmKm6NbkUsmG+Gl28KD79P3yZypXrzjU3djO
/MMSX5WyJ4+p9NQ+9DJtAvMt8vZRr6EF+KMyVI94qs0HXvT6S5nM6qVu9e3d2MMJhH4u6QK5a8/8
3aNIZRZcHhTNyV5Gr5raMFe85JPi6Kuvj+pMnSuNhph7aeRXjQQkBHHZflqUpdvrqZwvcUuM1cGL
lf1QmNZuLcTwmNZmYe3wYBun3BmGQzzZ4sRDYYRr2i9X1uyopa+YzRxZtLMOrALtCtsUG+RUKubL
6hqbpbuAcxxoqZqG7L36W093YctM69UoCQbvqtzau8qApjUvAbWYijlc6+jWE39NHeVzWtb1dWdq
SFCo5S4mo2kPWr8yxjRFfAlaBIGobriM0HNi9chN6Js6aM1Y/6a3DTbobPBYJtT1WJCn+FSVSfng
dFa7+jVL2sHV4VbGet0GAGCrx2Ycls7H9tjuyskrbpxawMKIFS2rAt3oFN6FdV54m4vl2ygz60Lx
FvUjA9xsh4SvjkMSBtdwpdK9q22nPdhi7B9jta0f+kW4J8dzFF9v2+ahHnLlVIz5eD0IDxE5MjWs
70K5bWdN2Ztt2dyPlbqEVI1Prdnc4t6+Nc0xsupueYbaNH3rG6HftpM28+9JdrST2fxm5mLcz2US
31hq7Oq+zHL3IQEacT8ZWn2pWQqLENs84g1jWfqFk8BH4vukmiT6BMiVmwvKvEL6s5Kme7Fulznp
MBFv9s1qn7pxfVE6lMzF2tYftVQ2fkItckORmTwIT4D1qCelUBC5tvlTjer7Vp+t7Av8xIoTl2VF
+4tr2yIKzOHFOvG1oyfxQUyKfWrUwQnBjtQnYXerEbRDg3M4bmrl4Lbc01wxCXNhg6kcJzGXNLLo
wCZNq7OiEcDUhoplFg9tjlvUtw0ABX5X9KgCFLv3vpVzkZymeh5YUHVt2Mu1Np7d3G2vetegxkmW
0fqq9Wo9+WWZ9k+TU5Qni/Zdi7O2w15WeGt15dkWwWlz0wcU9wIwgmzoGLeOZ+bc+ap/yawsfl6h
rl1ZgwXLmA4F2iy1N4d7lDPTkTazGlT5Ij6upapQpIgG2o0Va95Ft1RWzJdUurhnF2zMB6z+wz14
njT2lRlIjjXF40Gde5cmNclWcdQbEC2OFPvYK+bOM1NfYb+eXaq12uCsMrL2x5vN5u2fs423Y+6z
iYet6+wiiXjVdNPz8FicTQSr1MrcarE/pckJcMslHJGUyN6Yjobmffj9oTbp0pvhynYoD8MkNDUG
Q+wLtlHwG9FCqeQFoVr2J5PIPnvEVSwKzlT3NYdqKeFUJ/fPk/ufsuI/vG2ytmnQ//vCIvj+ufvf
//m2lvivH/qrmnD+QBNKGUFZoNEf3jIb/wnfM5G44aB2cUqqKH3/WVDof2xiWLThbCPRnLse/99f
BYVDsYFGfvs5xmhbRfHvFBRnQ3ub+SJmOKaIFmwdYzMQ/PzITGY9p9KhZC8vp7AtjrSkwuoheyKO
Kg0Q+pmgvh+nJyI73lHYQIn45Wk1QPib2DJQqrsUWz8fOvU86cokr/2lizeOhNkTGbDBJTS3Lq9A
PrefoJBRDTsbhgK4z/JYOLl3nTRAKuZlKe/dOs5OxYaw6L1qOHob1sJa7GInTDgwTQySla46wyur
rqxn7O3VbWGJCnkpoIxKj2FmIDeOL6WlN09W53UfmFRoRwPGiQeK7XaepRcluc6QsMlmWsl6hSTa
S8o4ajNp3zHd6b91nmBUsXQTEbGlNt5Lb0mPedORIZ11+qXTuAHNAdnRLPMAcylC+zoBjXm02tIN
YmFYBz3R4h9trvAlSJQ1/bguqUPTShHfCtcGa2UWg/ahbtycvqeALVFpA86VSauDTM5Mh5RsVE7A
3ZwHwoMUMCBezQ5PYTQ40W7aq+YY09VXVXrTUlHLYxqbyVeCYHTacYlkj7OSlWUJmBGxhKbmk4Zd
3K760JRhKyoa4LFiX0g4jZEzCAhPQp+Xp2yEOEAaqM7npWuXYJQyPmF6rC/4xhqfbB7vW88uvxvr
1NwxIxlJ7dZ5pkYxGHtFtfsmWkbVjrJMLY6GQbdMyWvIhHFKU6yjA8QEud/pZfyD7TgfiiHxCUk5
rFp8H6fjRTsvH5MUUBLMhJ3uPceZKG6GrPQumrq1L2gu5dyOND1BYCE8ZdsKaaOsr9Vte8RuAgfO
3LGTyLbtk6rG7KT6bVM1GnwUjVq7gqPFIKHv+1vwjiltR9EUAd+uovJB4Vsv/bZhK5jxrSEdZefg
mDli39e93da7ulJz0wi9betnLNpwsLbtoGbEpbWjXzU8LnFs7ZomPSRzP1WHWHXmS7ltKws68E9e
YbphNaTFleMsMC8EgwDLzylF/Erp9ZEyS6rsI0CTvbSEaB7KCrpS0FgcJsTuJAFc5EoEyK29S/GQ
XZLqWH/pl9J64PtQPY6rw1bZUaf2caGc5NNMI6APqbfw2mw77DnJOr76lhsXh2zbgydrz0c3ydmZ
J6abXHZpm2VBQm0ZB6kWp18HTxo1IdvGNITsXaUSVbhphjYaywl40Eg/MuEs671KJ7Yi73PmKsyt
KkY/XQ35DdnM+IzBEs1g0yaJ95x5yO+OUz4uB2hZ+nU3f58zxyCJY7V2S6cgqK+2oOFPJMuRZ1Y1
dv+R+FqrPGYxgBtc02kjuC9VPV/F1pjLY8UrF19Og945l6ms+2teNrnL2jSLGN2LY8/nkx5EJqY+
qpqy9IJmhKW0g903KruyNG3IV8xYEayt7EfDRkm1qBRVZkZGvJTezqpm80J4dfuBb/N0Z5Vjd2FV
xNnv5KqwpOm98UmrZ92+zT1eLD/zNOCEau4OsGiajQ8jcudR6rHqa13HZIsdp4gDbqh4qiu6+wcn
bxRAAWu7NkGjrt21Z6z2IZZcTn9aNQvephoHTRm3kb2uy3BYplnzrQH9x4XWTGTb50l/keMsp7fu
TU0VmAndx9vKbbVgYXeuBcwPyutKqNY93W0aotqcZQebSuYinVcH6ohntSxU3nhrOdrN5HRxVLqj
VUdzL9kFr46a32DjkrsyVZQ8KKx8YQReddVNMyUF08lYPbGj65M9fWZPhmO1iFubedYatk7nHpo8
m5Kd4CZ9R3yw0A13svkOyarxaRqdYT8iFtH9eoFyE5HcA9Cs6u3jMDpSuxEThWxUuNMo/cnsmG7F
aSc/VACrfDOv3A8IylvwmXnLyq8kXeY7Taf6ZPRk3a5ALnADYqVKPsS5NiLMGLSRmZ7C7AkypU/n
Vt7BFtEuJTS3oDfTbB9r64HSjpFqKbKLqVupS4QyilPJ63/oPafKCS3ojEs1m5qTnVT0RVIuyG3h
1N1jC93nlNWL/pLwZQbVNk29GqSoRr7I3O7n3VB7td+qvXKdM3x46VVJAibNchqAa+srhW0ywc31
6koINWt9Cyb112ZxaTGUuXLnZXH5dW6c+mXh1jB/XEiZsFgZLg0DVE9bAAeKvLomxMQwaAaR15cf
F7OYr1ZIeLAhaxiUhRzJmRLVKp4w4ZV5NKxredW18yoPXtYUXrQWdcoiV288Rac2NkDN9KRj6LjN
RrB+keGp8OqgGN44k9lfMlJFEDeAexwhoaJK0CrDZjoEbbCbjPZhyodtCjCN47eymj+1hdo8jEo6
PHu5bK8KnhEAZly4I7pwGjMtLtlbDJGMyLWJZuU6NszJ57zYK1WaH1Wr24vYZtUFxwirUV/cb9va
afmZ1oivck3Hx4nToP2my6gf2+JkVcBQWWzzZG81inPhJr1ognHN2luwn+EyS/mcKVP70e5XAcqn
FgtDvnK+WatkYVou1vtaOs210gNDS217i1n03JK2mwUFDxox3/3CsFbpD1NanOqKOQFji+7SLZPl
45raazR08x0soDEcyJuLtu7DpTK6PAum2iB9B3unhZj+9YMYM6ULjCH7FjMlvXGbvO53NBwQGJV4
dZVBYfy6VOr6XMz990TJuwcxj81NIxqTntWcKKc6dbUxwgZe3BWpN7zU7AbDgoyXa7fIHaJu0rX9
kbPFOM6L3t82Hr1WlkxrAsPV5/sGrLB9ABdY3eXaAgQ2g5vEFB3XWNZ0y0kw7e39vk0QB8TdasMe
rpr4e7Wm4mrFJBPfZQVShGiqVnU3tRmBsrlbzRCCuxm8+sDMThn6oGfOyul2svuc1gXdLsOCUwgM
SiTHsox5p6XKY16T12Bq5nWVSymvh84qDiBDHRGhEzKl70h9rgNUBOND84rsWjZ61zqDlvO7oVav
ctnDEFPSDfVV/Yn9ekWAUZcm1skt80m/YCHJr8lG1gafbN/xvkhrpdhNr0ix6hUvJjbSWEKr82uv
sUOtNg4ZhNTqYn2Fk3WvnDJ1ADVjvOLLlBEEFN0ri6nVajWBMm6oszjrk690VVbKYEho2isUzVTh
o1mvqLQ1gZom4zb9mmGGsEAn6tZ+nhbIZvkrbG3auGuuuSHYxlccG8Joxv7pK6bNqzX74G3stjcl
0N+Uu4xOfq5BDQeRH+4dClDqnnMV8Aa24stJQREXHx3zpkwff//7z6cTtk6GLOMUSD2QEmwMdz+X
DS2arUEObAc3nTE5VsZhOGwqY6skNtc7vicw/lU3bmo6ESN/FkpsMc8qpLSXat6n6GKYG0fecNgY
M+ZrNDpgtmnfXY03aInfE1NvXYGfSvmzo565lBo5mnxWOMscrI11qtHybgdt/gUsg77Jgn93rDOH
0mTASde2DfYWnGjWe/C3ZbjQWkVSQNJgsadZGg3JTR7FX42gPKCLdLKgQED9zq3dBku/+UNexdVv
+hdZbk2KZfGHmPvuaB2mg7HXUEq/7zf81eqzXV6s+hvtBhiYfWY92Ow/bGVfb6qxw0yx99j+hf3l
cL95D+pofaY3/87Z/d0tRQfs4someFM/P7sFsqdNj3k7O3HdXmyMm4HIrvZx2DvHd471S23N+Rk6
inz8w0Cmzs+PWUy3bEMVnyI1UiOoAFG6U4LpAt9KKEJxo4TvvSi/HNKxMFDoDDsxHMAlO7ukphEX
XdbHbKmkF5Zs+rVI7F5P63+6Tf8B8GBb6P77XtPD52r4/L8CMia6rPr8tuf0jx/9S27u/kHbysGk
yazY3qbUf4nNmVITrrLNWmkfbSPsN/0m6w9eA5Zr0gXoVL72ov7qN235EZSNjqpRZvAFQoj+b4jN
z/XfJopwml2awbic/hqK+J9X71Wz8zYfpprwOmMnv0OoDnj9yGlVb5S7zS3dXOHL4L2I3lyt2z8X
kbddWH3rJr1ZW84PfB5EnIB3aNCM16TDFiu5694uORgHOgiEQzymQQbzbQq0QNnXj3rokWlfXgAe
vqp5U9p3bK7nn7Bf/pZtQX6zzmEtcxeNfIfQ5O10dtlFESA0vmYDTAbKe5+Ss6bwLwc7ey+xvxtI
E7jiY/8kh2v0VsG60O1AJkQ8RjBl763i2y383ZU+u8W6dOJ0+vMWa5k/3JCaFDBYuy6vX+8vfvj3
stL/9ojs84k5QbFg2WefaFwGizPoClkfRp1Hio6OCqXdv/lJ/vNC/vMo57KIak6G3gDe/5q7KA4J
Ia7cNcw1afTe+v3OCZ0/rH0LMBp+ah0qDqz0r67+jg9D3276m3u0tZfxfeD84Narzi9XDGyqFdPh
EaF+p+3WsLgzQjDewfIxPqIbP9aXL/pubvySfZUWFTuNriJ69OqdS3r2yXj9K5AZarjX2dCZ3tl9
I8FeGzErkwidKMdqq/oK5YZxzztfw7Or+cthzvZStbEWyrBFizR68oKzHM69pb/H0TpbX84Oghv/
53c6l9psj2Yvwuq5OpJ7HdTfTQix42sAahWJB0xnOS2wIBn83y9tv7+KqIJ+PnLcNxUzUU4vyQQY
DcbgT6Orr0em6Ou3/7dDnd2wdi7z2KNvHLYt+yScG3FJCkcT/v4o5xvS12tJJpCNYAqlE4SDn89I
zrQwOvrGob5PH5dLwDIhHv0j3drIPTKcvFoiilDK5P14g6lwXx/e+1xsW97z9wPdPHBog+8lH6uf
/4K+Wgpo/lnLu77lQRb7jT/6vvv77x6aN4c5Jy5qM2Vx5hlt2FbXU0nEz/KhkuiPrXfYDdt3/5fz
cVQSnbigFE7m2fnAUxb51nPk65fcb1e0vsMcGTofxT7Z42maQ/qBsGNFqIaQ/QPlSI9nx074vU/f
2dfo9dZue9LXdYeh2NkfEjMjayjoGy7sctn3vvsZVBbduLn1NzrbGs1sCBAgNL762AXpxXsr6/nA
6/wPON+FK7E5arnLlTBuxIcpzA6an3xyouUCLWogd3rY7en3/V8sdEgJ0aF5yNz0zQP49oNPmkdC
dgsfqGT4mtRPyUSvPl/fWQdeJ8nnD+3bo5y9NoY6xDXR2F0YX9Fh8pPrOcpOQAWCLEJkcfACDDiU
U+5NcdvfKuG7pIu/W2e3TafjOEz1eIF/PkuD4ZAk5KR9zX+er+cnMgyC+IFU9UDsxE0cWO8sFOe1
+evN3GL42NeyfbXPiYmJvRjWvCXlvJIii+MGTzAfS78hugEw5c4+KKFZh0v+zqX+9UwhSbuOqnom
rQG+Fmdnii8nX8aS7mh1SvSbnu7775fAX9/Xnw9wdimXsnRqFF8CCRcjM7qK84M6fvz9MX5dfH46
xrkVU2KBWuy04pWXo29VGv6am0U9Jfbx98f5m7v004G2BLq3Tz+JCVrr4I4Iy8vxosRKGBLbsO9x
Q7OWy6C4lcf0wn2H8/PO2TlnX0VzSQy70LiCm5pqWuC8tC0PQheUOEfeOcFt0fr5xfvpBM93hq4r
VuaPPHTbY5g3Pg0UDDR5iDJNfnP25QGfWAu5FPC67/aBmb/LUnjneTnfMApbHwieSAETG3cpUS06
gcLf3jnLX45huUgZNKq3TXXAOnZ2GztI6VqTNXxD3DRQ6YjTJkp3BbFh0ZY9PtyLsF/frV9+edd+
Puz5N1Kx8zXxEg+7j6P61XJv18+/P7H3DrD1bd5UY8Pam+0Su+gYmeMsY8aIZHln/f/lYdzOAQyD
jS7U3Wrwnw+B3rfAijKUvGpJhECAB9Ikuc7zYbG8s3L8zdkYmzBEf6306cH+fCgnlxjmGmBQTiHQ
NtnmoW4yGgr/1Xq4/fPJfltM//K8cxKoUlh+qeE5pbPVKcGEUgwzU1xdbQFb2skLbdqAnuXlug6h
MUvYD3P6ZaJv//sD/93JMQmzDGbWDnrxM2W6QIQ6VLhEw2TBkDKuA+yXuTz+/iDnzUGHNgi9MxoU
jslTzqfl50vIwCMfyJuvwy5Ejb2FWZ96YJCIhqP1M8VK2L+3K8K9z+98s4SYQEm2zohmu8C1wCuf
PSE54w1H1BqjK9NQkPa2I/+rVvF3FmnGTVjUrvsEWatfpNgTZ2Mom0hiLFeGNLuR9tg+xb1W+8xp
mGj3i/diNJspvV4IONPGxmA26JJmIZmdzw3E2AIZARSKWPvRpn35Va2WS9LtZiI2TXOXFhl30Kna
SE/Le7vIpshIJ0H6aUHwcVkcRab5Q5ZYH2a6fsl3DAV1g9HXTBTNDMbJVRTfaLpKJSSxrCz9Y9vk
87OVFrgICqU+talrfVKy+JMo1/Zqnkr73pGdduzAwV7Uk5VEQ5ONRJIYkke4mxPgg1jPQyG7OlLd
AmYAsVItU1e1h4yj56Pn61aLNiaeSuNT0W62ywqmoE46YNS0Gi4tkcOyWeb00Bfl6pJaI8bInCSD
PT0ZA7UyaH7zEpOAQtIHyJqPSa6sV+WgysrHF5od82XqrppeGy+HvqUkaUz7YGeZfbBKHZcoT/0k
Q62bmCeWZRaUhpVeY7tz75U+QwQydaNf6zg1sbfKO6Si6q2XDCoTPCV5gCddoRmq42NjjPWud0ry
s6uuvPUUAkiYcerTpU4KyE4szH0Xo+4uuym26cN33nCXo1/EvtfWUTwaEoV3rH9IRsNGOCBqul2T
9mJlmnJp5Qb6S0mRvcf8JAABYP9XywW4FoNa78iIUGKwsxLrUjpi/sSzo33Kq23ZEuoaOhMjFl2s
/A499RC7KF57saQaFnKxag921oyfUi8vr7isw5VTY4nMywq3xiqKsLAJHbeF6j5M7tCHcaFnTUDu
udsGbVZ5n83B6S5kMnMeJ5uZ4jeLId+NlxnJE8tx98HgcQTbWyA6Qepl+N3cpEEK7AX5DgKLZUez
w0FhoWTATrLRIxGSC6BUXrVr8BDu8z6BwstCfE2+knkscHRDb6r0vTFpX1zIlrcVvGgkRqZz3Tla
12/vWNIggLLsyFYYCDtZIW+UFR8+evXc3fzTL1jQWrLWdHKmhYXKw274FaJw9pOqF6F08xOZbvIw
zo17zYdMCzU3fYoJX8W5ly5m4LQoQquWjoRn5Qn27nygGVMJ7UotjXgvl0p/XrVkjPRCjSOrWb9o
Qo2Pa5zbF/CvWJ/4+xQfa30SGcPYXpLCSvoh9rj8VAByel5YI+YIT4b09j3T1uToKZp6dAzUMtAW
VgZbDOqyeJ+CT0bmMNaPxqgoXwme0w/IlZDo47qONqYxsuqE9Zb4VfMUVxZpjcIpD2thKadlSGiL
NQjTvqqT0rMSaM56BRzAfVosfbrtynK5RUuFZb/Ip8KvxEgmldtaqm+QDspaY7V6VCAS9o34/5B2
XsuRI1m2/SKYQYvXgAhFrTNfYCQzE1prfP0sZNvcIsEwxlTffqquMqMHlPvx43uvXWduGnCwXHR+
vzXzsMW4m1m3eqghylcJu1GcrE35rEeClQjabPytbJXpr64sVQgSuTwPNtx7yyboQi8xS7fCDYLp
cNv0yh/fzCTyrpQMd4ppuX5SDA+KiGaYjLY+alH9l76yNfiVto67xwFuFx6SsuNEI4YqNMj3U9vk
tjUR8djWB6WYd4QKF3ZqjvZA4AXxwwoH3FJ9AYPxWmqtt7GWnxKOKdEQXbMFlzdVY13irTjIGVNf
6f+c/bQ7kJ9KsB+OZdtItIh8QyxXedk6kYJ1IPAV6uQanTfoapMDZeALd5VG32PAIklkcoPOw8ib
K9q8fGPTpZgFLk0/R5KCXT1IL7UI1gWWMtHb29rqnHoW/+gI+jepRr6gxNuYcoGa5A1qaMvtUq9G
hH9G856TM+RE/ouvpJiXw3fSbF+zkCRjopCOgonrZrZcSUBX55uXjUCUXIogsBd8J+L4cEiF26mE
CaxOHskgxyFI92M9o6hID5VEnJwsX6dGfyiIIa4qwZWypLxr06a+SwdDOladCkN4hkJCtmVFVGDZ
HTrZirZF38Ny6ZhRBEFvL/IsMiVXKI0OU0Ns7Utx8ohJ7nZWjhlpTDPOiXEMobem990rwg85wdXU
CyAnDD0Nbn3Y7Rx+WoXilGNtHmSsUVQYUbdj5RQuRb8InEavCmeu+XdzTJ5tFegkipZdvRV0PvdZ
FQa0lCrYKQJny43U1N1eiEmkssrCQUc1ez6n1hdWh549M+PIITEs82K10vaDOY1umSd7oyomD+nB
K9mCN75ZunCG2EXMBFWR3ltsuqB2Jo0+LKc4OFoLWCIz6aYIgrI3FN7aDqspB4uW4TtNoqSL7D9p
HgQ0oxcJ6tnLKRWsXVcg8CR3ams0mHr81MTSSzBcbSdSjRarKHN+ld/8UAcpcmdDb7wBd8sFXJD6
4Bsx+bN1U+6YVV51MxZs1JvhbhoFwQuxv2hqe9EJqkCCWQ91pTIm8THzTdXJFYMJyuwkr5g7YTuU
ZeBggEUb5bej1+NvfyhaDpvbYqSxN1n1Q5DiQqiS4Emq/dHLjazdjsSccgCvNOVGnwf5rcqU37wJ
BAPKdX8ZlQI+BV2NalcxknnP+svaYpo1D/+vmrIq9edOmMYHBGkYpJRI+hH5ivogoOTwksEnMNto
Xpoav+EcgE9ADwphgzi3JePPQI9R9qK2rYbWfxtCI9o1/Kh9HAj4aSJJfgjlZrSx97XvqUzn0peT
zpkEJHvIozC1z3JzNyWCalvSwvFTKaQC0/IkOqqUF1bDWUzG9MX6gHHBN/rLak59xeFemnbVJ9UN
EI/6d7p4h4smzbYGXvNNXaAYCUq124F4owAv52Yj4UuCGa2olwhSpE2HYMi2glmfMItWpIxKCfwD
XqjauJmGSHqnX6h6mM3SCwrP8H6ax8wTkfdsxYIPDqeRDL+7Jrp10yU6xjmDABz0ARIVYJPJJHEs
udNXxtiC77O0cheykO9bMdX/DIOlADrtWv+l1dUOqaGg4ITLRsN/0vsJpKBWJT8iy+rJBB55X6Qm
nt/VOm5ulj0fNIlKudbZvm/HFkkdTr7Mku1WxEayMSsMZHYtz/12CCNSzIwfZlvvfT/YjbFki2L4
Bpcjxx3ud3apz79RsfXoLceypYKee0gGI4sAXh1za/qQmoAREf3XZtLWF5dU1EKD6hGV14MVvkaJ
jNM0k+8SDe1nM5SRIw5VtZv9ST0uoQa3lZAHrj+F04s5Go2jd8TH19j5j3Ghmw5QCZbcoPb3Pshm
Xt4QLSUdwUM/WcJPU2z0LQ+23kl+k7oFsL4dAqCcGpjit0P77DN79uVrWc/V3mgj6EpRPO3q3IwP
+EHbnb7kfBNwB6agJrJT71VwMHkobZEGFA7JiDH5djjcZepr00FnGl77rQz5pJ70l0G2hK2VW0uF
jFo0iWwgYPFxiBSsNsHYzAe5oaMgIfVxUU1kT/TcxH2Lbh4zYj7T/s+3IBLCY1jUlJRiVu2jWQq3
pKhWGyxoomILJWTdyEooLXPRhouFehIsAQ3oMB1eRIIIZ+yT7CkoBbPgGgqGweKXyKT8keH9rPlm
41mNavyutb67QEWuPkWcAm5leInIEWXlV6IPyX1sYQguNYsp0JaetaAaRI6sKkSalT4dVLPg/07F
9GOA/dJvhALj35gbBpHCg0HNYBGvCr8gFiLEiCVwmyBuzEuyTLWdmhehB3KIlTUuBy+oeb+Qj2vU
DrOFBhHhm/CYJhY3saugX6Ukh1l6jrzEsPCgkT7dHJsuMX9pSiur27ZGbUydKMbPMWaPmzacTd1r
5YhyKZ34aNOyif4YctaijWb/Ubp6pRShM4S1ssFhvpioEnHEnEGu7nWJLjDz0LqK1sYKTA7sSKu8
CcKG0BwRe+ucyta7kTUKWnu57ewmKFkamnT+qavNLBFzWBZvsyrXLmZLDGAj9pO3mgOeayGfwBkU
84iMUoAvjThtaPiWA3QyzdSz8igqngRDbg7iNOKcI8rDNuKZTEK/B8lfiezTehUrScZknpRFfszT
NtsMU6m9CaFveFWri0/JALcfdaXgWeUsbKtCEp1QEYfDULTqMaVOsadOCh7hKpSkWkuzze4ldKCS
hDaGS3BNEr5XsZ1p9C4OA2NulE02GSSpm8VrrI2Wg1pcva0CvAtt6Ysu7BLzsWgi2F/tOLpaUqEE
UOPQTepeuNZKrbqY2260MStql/Rtyg1Vw+iaAzUL/x4lJB63axT/5v2sSvFe6MurNrmF/uCIqnLL
9qdwiRLW7HAyqxuqUBICIt1wBV3oABHFxlvpq+It2BaEOWJg7QmZVF10Zu99VkP+CCb5FqbKeBnH
WDSLQlCpBWrQYaoaTyxJJdxyZVK2mhTDmhF7/5evDzRvCbh+IAk7fGKfnB8Hjcq6GwzzVzda4Gsb
pddqeEuCeQVpy9xDzCkPUWsoR0Hzyxd/NPRroh7Dizr1YcHFZOamRQW2shCtX1CzO35hCwsoCsqF
z2KI9yZ5Po8CFmwHZB/q/9IchUMItSbYUK3XcMhn824mhnqHTSBSN3MZx4BQWvEuMmY8fWrZ7ZJM
T9y0CYtjI0q1l829doCcwdI9R8NdJwoIRVojcqtQkq9KMxphd4nisNXJ4kQGzqzqBKUfWq61AINK
sbS2vj5qV/DmertK++4HdpHZ61l7DhF26sim2tTVTVXnF8ho4id2rPxQ0ERhpgZ0Q5g3E07Stj15
00dFL80fYiRX95oysqsWSed2YMwWXoQjkXUwzfPM9se4vOIfrcYhjfOeBRlzy8JGYmXRf0QBLhEP
lbPlbzCyJzugSC0rM9tG6ochyugCmvVxUTwbtpoHjVv/BTAxyWMJiPpxeMty0oiJ9GAVJqU4eIoJ
YgZmpSFwR10+3htWmR0pSsLXaQoE21hIT9XCfFLxP19pfFHPYSrVj8nChqrySDv2YrWNs6GgqwQx
pYzbVnawCYzHNNX9bSFpF/qCmgqSbH40/vKnIs0UfnVKpByD2EiflAlxv2QKIjZXv7vWS0hKYVKQ
TwvLalBGpvGpspEihXt4jTWrbDPucdjc4cqlWxIW+YW+MLIMvwFuJEvHWSlVA9Pm1B6HeNIvxkp6
GpvmXZ/N/kLyB6LU03THvji+9c2aqOYRA2nMeZ6rZma1wRkKQW6SYmEzhonoDdg/RzCRC82rQr1+
W5balVXH6mvkyxT6C/rLnHrB416xW6r59wsXbDL79C4w9Nj2/2LD2jzsN5NavWSZZO3kv3gxcLPF
odWlgN1wEci38QTIQVFn+WGYBunVEnvjbVAnYlwrKqCjQmwqH6wZxhdTlVi/sZjRHxIkWlPiAjeL
56kF06TlgBei/I+g6vJVoqcZJhExoTqU5/aNtAL5GfB+dZOXfcSmb0GnZVOmOPCjWjJtSZKFLlGw
Qefkw7CZxFNwEzWIIFMXSi+WTMLDS5FXOtCC9mdNG/Fe1IN6B6MTHqNYmy7O3QpE4Zhdi4Mx/GmV
KHYabBYQ1CiIWRgEk2BAdIW/GlgOjlh2Fe3IEinghihyqqnc1+SrOUkjD45PcWALJt+nwqjZkRXn
175QNUBuCGQvZAyzG3qCwh48lAT0i7ZcaTYjFdpfVp0hjM0tHaweqgA0nlfekeaBGCr/mM5KXmK2
MLVD3c4j4bbAaWEChdfdYNU3SqUoNJgMzByWrN9CQgifaj3GwpOobMig3+3wbgkX48LZG0dNuir1
qqXo19JLHaTkFXjQ5mVAeEsUQDxrAVRQUt3JqLduFSEv7oUpNw+9HGYPpTjMb+QWwvVrh8C4mzkT
vS8ElsBNTFdoi7g0Uu0hH0gCh3ni1EORu7SjzN96qfevQqqjfoOD545zSn1HnPFD4hvCER+IvmfK
pczoamh7Q6T+VJMK/OACIhy7sjlMkypdD7WhOSqtRQ8G4PCUFCY31p/wRkwVqwURwH5PIURPhspZ
ACmhxaJUbcy/rMN6asztJCF2dzrZ5/DNohdpiypUunKKIiTuGIiUyDKOtZB1L/1CTJw1fPJVr2uv
VZEv+jGcSWk9JJzoGeleyQYDeX5JyqePBJxvJiiHF0XpYDILTeuEXa/9tDILiF4AoDEM1BHTFU5J
xerjC6q2+laE4+fR6UyvGo6SHwUlIZe5z+IHYtWE3/VCfMxMXC5Yp7srdfS7p64dlT8pEJLjFJlX
URwRkYnOb5MuMTabCpuP2+u429o5z28alU1nyeHBYzvQUAy7yLSxXUBumKBEmtIrsIxreayrIwkX
7V5re8rXmAKM5rKoaq2rm8AYrMpU9lIxKVcaVJkl+NuwWbPEfRjLzb6GELLvijh+k/G8XhaRGoC1
HUZPkyrtt6hU6U5fGJm0ETUcDJHideYUPiSFkD9LhB4eequ0boSZSO28FEdbkZTAlgJ9ujZbkxzO
hb2ZxoGyaSS9gSY2azcU+hfWJDTHtE+HO+kvt3MWRTfpBu2QDurskk9MU17WpUdq/eFdb+PE5W+0
QEDm4Y8a6oGtmUVwFynDXk4LxAK6MF5rvVxtWdsJPbA6udtAOmHzWuX9DVIuVIqJVG5J1BkM26ST
ttFg8Hoz1DFPN1vtJ6irxOG9ZA/sW7eC2nBmCJ/gtu2CAFvQbB7UIH4zEtIV+1lZuqEzzNu+LDfd
lDUHwwp+R5avO8ooUPAQe2LPwfCeDG3/q5IlkLjzxG67zil8R/CSQZE/mF1V3OhVXbyHYmPeLic7
0Hqw4zwZBlUMvV7jOFm8uZ3ZPEsjLHZ1bEU39eXwTlkgq1FtXgRhzI6147nSqW/ktjhq3U8ahxvV
nAAtxHF0H/hW52YqiF8O/bwIv+qRwz301HKoXNYBm5FcvK4H+U6YimMst4ApSsUVfTY5mdzle6ks
6NQYaOvZyc1qGh6ETLfw56f5Br/fjzhZXHNqwf1TortUzAsHNfd82UztuxBYl7HCwZQyz7uyFHbK
VAduGKt3k9JYGDrxDsXSfFEJ5q7z1XucwVu6BaGtmjmbhjkaN00QHeMBzkw5XlcLtyOjiCjV6aDN
t6Zfeg2S8h190Xd56mdHopKNi/mZc75yOw2FV+jKZFdjm2/nuYrtQeJYBSxS9IfotkMYwYUJk6sK
MC/ex8aBKek1s7bXa4zUSdK/ZJGq8w8SZjPdfxGipn2L1JJTtjBdaFba7BTDfAdrB91cpmI0WtDA
GA5p6ul4EdM8LD1ZmC/Mvr62BN3c6NR5V5RT4yYLtWddoqA20WoJqUCbV7skyeBHQbstXCjFwBGo
E4z2vRBDcdMa2rg3sIA6hizHGxUKN7l8QI5FS+g2C52mbustgqpN2DUQPEQOsOJdF1lsMs1KsOnf
6htBNCYHkxJgyr69U9PEvPHjBvNhFBVHmvPttjKK9FEWxhEutdTbtLcHZ6rT1s59INujhuqLLx8w
EjrNW2m04FRMDT8zpU00dLk31NJ9boAOrGnn4NbTEuzKfKQi56TbFGSt2wXzTZmIDry+nNONAsSq
GjZOphSG3SpC62RZ0tCyBkVjma3iwRgVXpCd+V4cQ2TKy26md23SmPyLk9Z7zZU4jWDzD2dao6nu
pQtJU10A1M0c5k9Sof1Qo5k6M/ANG69pwAatgkHdVnl89MWgcJR8/K1X9IgEksM2DbYpG5ak5Mqd
PFKVyyqESz7vuTM6r8AVuMnaST34lYaJ0hzSvSakNKni2MDpC9GlqjvhJx5GcImWUV1EklHAz/Qb
j4MOwRWM5nfY5JqbMLfxYznTCHpcgJ08pAeWLf3fHrF/Fs+uj78LtaEyS5F6JvIlVY3NWazz/RH0
CakFJ9AImzh8Vr8mVoKSYBlTOYHWMEPeQiwRHN5bbHZ9GZ1RP5wcikFQOuKmQkDNwfQH9YPZxekY
RmPhZP5VMdymZM6cO94+cWqvLf4B/CgcqAN+/zwEAHu/hjtcOlphpBssZxB7iz/f3zHpxHV8GmT5
ER+uo7amKk9iBuH0R94MruJoSLQt911/7/Y4Ce3/Qr1Jo91QZBF4BbJKguo/DzlNdO4AfpVILejO
mxd6/UYR6Qzj7++v7YtmknEgDBp/w4kNYqs/j1OCuJpHBQW/iH+Uk3SInXdBfpjUgl0lyeDQwb4f
cG1QWBQQn0ZciUhEOglmVS+JYuh8WAWI5M62mit6ijvtqt2Z0RbV8Aftw39Gg3QiaQRyYzJZ6cPw
srNdMHjbW6d6mlztQtqEjv9LvVYO6ZXoqDtrD5TYPTeufGpc5B0GSpJFhLvGDoIL4nwccrnTvwev
yvuIaJviZ6+SY5mB6ETdb7jz0XDN6+BmBn0Yuv4Vq/K9/AyD2f3+Jix3dH0PSIggmIamJZXk6h6w
DMgQHOrU0fVyAyt2k1dvGU3IdLj8fqDlZfluoNXHqOdgC02VgaYEfi9GEDaFzowO4vthTlyPwezF
hMLlGKTSfn5npzxRg6EaUcuMtErgnUXPUeKJ09v3w5y4GgO70mI4Y6OKEPTzMFFLchNWicqJdOgp
MoKjONB+TbVw5nJOvCq8JeCVVPz9lrk2tyVlP+TporGPEKHVbJZV66XWD0Ue7gQ93/77i5K4Fsvg
01jiyFcXJchl0KZ8fXp8GFj5WXAIiT0XhLdKztGXzw5/IMcTi54Pd/jq3tH0ngKzDBHtudgGvE4H
W0Y4UvOKdcCF7XijbJMbbPUo+vCJXI+u6CTeuM1uendylrAk4+H76z71zkj4bDGmEJaEgvjzdcta
DRhRCzLHIKmCUAh+D9JNenXTIJ9Zwk+9N7JE5jT5KsvKtNL8lZqvG6Ogoe8YlIuiDPZNhU8ykZ+/
v6JTUjK8nv+Ms/qsB60E0wNzh0pnk71GO+052VqX3Y/eNW4XQ4F2o5/RvZ6+MqCzzKXsMa3ViJz8
BsDbRg6E5sgr0x9FXkIgPDPIiRUdh7coKYs546vSu8SfXjRiXjqxJB4gkV+mIa7d7+/d3/dvNVMt
NnINGC+xk188rIJV04nv0spBc+rfoCPRfgRWYi18wPqYjHDuZij7W2WajL0Rj5ltckBJ6U/512Sz
cWGG7FjrkXML0YzUfSwXAXEClSD9KOomij0YhxqZwVO1S6Q4vEYRhGd1QJI1Bsg0IaHX4puijMrL
mEvNQSi1xG0bI3RLIY8vs3qBacxaH2/lzmrtWmOy5lDV2A1yHTpRk6keX3Fb2RzDqvDjDek3JByF
Px4aWwFWo4cG1LxrhMLfAeCGhy1pE4kwubFrajm8ldtxgpYv+3CRap8oDWG6FcMOxCZyt0MVBfU+
8IPuCEyHTVMi1/eqAMNlHhKfE5BY+iOEEWcADdKLIhRgGYURXxbkvOIuMgX/vszM+i2LpvhB6Jgu
k0Eoj35RGO6QJbQ5pCHYMxv2L9BPS/f7J/v17aFFYCoI56GlqKCFPn/nWaFOZbmoYY1IsyuZQwra
Vt8PcaIcxKkvEZMEDQ+R6no9VduEwxWOZZ3R4/QLi3fk9sd613jZXthyCuKWj9avM2N+rdNIfF9i
2JHeYqNdq1PRuXVBGLC0EoJyMaI82hheQsgcaUaH9K7dhleL/aK2g/PWixOKXIM7CsuNGpuidDWf
1RJniH9Vv60TgyCxOY2THOs5ORR2YiNGfK2ICwzsoXVrUtDOmWpOzTkfR1/NOWo/TloYiKWTCM9D
iwp1esyGM1HRa+fw3+WK6tBQdBUcv7g2Cwp5lEZ6HlZO7yVX7YXiDNvY0X8kNhRj1/oT2Poucixn
OrMYn3iT8FJrSFhxolGbqSvNMeiZVK3menEsBSSA7IMDSFevP3DQatOer21TsjvJPuem+foyMawB
mgAkvryUHZ8/ksoQxEjl/M/h9G2fh+ObEsmeVoY/YnlmN0/SDAIS4e77V/irT4yaAIe4bGBooHBT
VqOiDYli0cQXOtjomwS3+dMdzK36CqNZJc8v2HWX/g/LjvbGgUoA8KwG/mdPwhTUhHNAgVWc3X8K
lI8/ZjVPDKQaVFYuLVs67X3++7xDZww2dOYuiPJGinxmYjr1FVmLvwFT7OKPXb3HJdRojLPT8qjb
ffXX9cfBxNnM169GLe4yPEjeKbYdcOxWr5Rh0qKApls6PWf9mEV1u7hEseTJNxmBs5xvH1zCI7xm
T4TMc2yfc6OderU+Dr+aLOKYBLKmUrBugmmRgqMIUizQnhX/OWz+BNrP79+pr7M9F6ub5l81vUJG
5OcXWdLTgYAWToM17T2RnoLB+//7+8v4Hzb+SlaNfZNYSK7AiQsz/Ak5+vdDLNJ86K1AEERYMJ+H
GEn8Msss4pib0/EMuCIMuTP+4aXYXhU7RJLymeNq4PNbW15Ha5JNVA6FU8nsYzhFEZSdEtUc9l9N
ypnXfPmIv4xFd4lJjeXii5Enk/WxjsKsdPB3hHZgFd7M9W30sT2z1zw1Z/Pnac8vHRIF2unnG9eF
qJ8NKmA+qLzfxP6GvG34OUfdCa+Sm8or9j2mioKEzutu969fC4a2VIXVQl+e3eehsyDgjIuuNf6v
bJMNzwFum+9HOHUb6Zph21BMdoXG6isOBwE1gDnAAWwJK1cP4cyuxbj/LwYxNQCYvBYik9Pnyyit
aoz6nqW1jy7S7LHGV9bpZx7T1wvhPWDLpbDaWKRRLf/9wxeUTHDdkqDFt6mTua61+i89NFyDxATn
+4s5sZYyEvnxTK4cC1OofB6pl3I/6qE7s4bL9JWCq2XjOe9wie6E2/KO5F/v3Jx+Ygv2ecxlNvxw
dcMUS3xI1A2tg5QTv+8OwYZXu+ZGIUkZqdHhHMfo64zHiJbI6s06yiHQasRYGaApZmysZ018ygXk
DZVxxjF0egh8tqosq7Q+VlM4Z3HT1GT4061Ze1J77aEpkzOFz8m3ghbE/w6xWgw7iro6UxFViaJ5
VMf4uUuVI0jOM52VU8MYS9qIqFFdUbB/fjxhaA6zODG3yhhtpBBJR/4b7fa/H4U4E6pyhtFwYa9e
vNkfNFSd7CUz6z7s9n6H/qY/s0qcuJJPY6wee9UIxA/J0CzUPt43k58gjscrIGn1jzOf0Ymnb/x9
7KxFTOLrAwjdajm0SdhACdnkZgrTZ0tMUdHvUOrYUZFumtTfKIGBHZNzm0bbpqRt5fVPyH7773/K
qV/yn42coRvil/7bjNw+Z6WhdasPD3j+X1L/HCRkuW2fVytg5n/3iv8ZYnVbLY0UxaQZS6etZo4v
2dBjHUGe1YdXpu4DM5auxTF7/f66/vYnvxt1tXJxpNqNEnJaR9v0zuw0mwU9Ed8b2Sbaqvf44Wxx
I75JwqZyk7fvx/6Kv1jw7ctEzMfHLLJuNhpaMU59T196sIundi/t/O1wKDG3x05+HXpLSnpE4h27
ydZOb82jcJZXcPKxfvgFy3//MGf2uhGOZcrJxlT+MbpHVXn8/hKXu/fl7n74+8un9OHvZxz0ZW1i
lA52xV01XcrdVeknF8g6yUJUHc3XbKsMnr8f9OSL9GHQ9XZiCOCIK9xWLYgm1HN+vMnK+GDVxCpk
4rjTleKJ+u/MTP0VtaPTYAShRWcT5Jxpre6lWdNoqQMjx7246f6kvyxvhr8RuIKtXHaOsI222tbf
jNveHu3i4T/9gXOv1HJpn+43v4E8D1KXVYWqaF2HYdozoNJlhZOoJdZMa3wNrMqeWokGhXquIP8y
Dy6DaWh/qfiovsTVBYNSrpVu5ngUMuhOqf3bNDEesaXdfP84vy7sq3FWLxGqKtFHAMux4jWE6b3l
xZ5wp8MUEF8UuiwtgNxf3w+5/PIvt/HDla3eIMOYa5UtAG3PNLwu/NQNTH/3/RCnb55G55/Pn/Jh
Ne+UstVIAVpKmp5YMMqMdpz5rkO1PlO8Lgvel0tBfUkTF6AmXLfPX+AwqZ0qzX3qmAMpO8jZF6Km
VWIy668EMM3fX9XXwm95Vh+GW03ixSzU4NfwQi3QzhbQGnQE7Wq0RxfB4q7ZV9fBWXDAl0lmNebq
ViKlAMRIMBebj3rfbMGhe8L2/8CSXErwb26lvirRK2UYoRXRccfcBtlC2qn7yYN2f7auPHcX11Wf
kHaClYbcxcZtBch5+Id2+o1+bW6mi3DmfCbzsM04Z57dskH/7vpWhWCgBrUaiFQbDclsG9mdd1j+
tqMNf97Wj9H5ZubyB78bcPlBH1aHss2SzpKDCvl0vJWS0kbYdxGailspvzsMUIE4Xsql4CqFsiVx
a9M305lrPvUVcmwpLp1cOsjrkyihrU1TCgREEWVKhs7WVOmH/Tfz5FLa0ByhaQwr9/NlJmaUWUHH
GZQ/0fJHajpcmBz8nnl6J+Ysql42wDJLEC2t1VcQ1n2ZZpnFedC2v1D1TeoVtuWCyXFaipgB1edO
OTMzn7h7DMmO39RYB750auO65aeQ4+aEBoAnfHUx1Phzlad88sKolCBnEtbL8/h8+6K2kHERsK/z
Yeqzr0NsO23EQ/jQLh+7bdiN48rXGXirPaK4jR058kXi+e6Z+7sMs3pZ6fX/8zNWX0cJrdgH0l07
8d7fZtzYeZuzs1yCEs+12U99/5/GWn0YgjVIiahwyUtROjzhZP7Zwz7u7YE6QnFTN/KKM0XTVykI
DeiP17c8hg8fY0tEqRqmHKSIWwwgLuZsL9vGz8UeFeLjOaXQ14bRarTl1fowWoaTJm39EbLIbQtd
mdpXHjYEn8t4VX9hmHN1jxjxbGOqWysmn+/c13JiWfx0tasVnsaYagFIqJnrojscg6qd3eZvyjGz
3wExSTaWHnzaZO+dJaN9qU6XK9f5n4kABsHEakGOmw5l/zzSJjWvW4vd3BV2HALGCbSZN1qsnXlv
TyyOn4ZbLchqKvqEX+EuRJh7aLbmXtsu59HNmXLma6t7dVmr6aclOjfBhUZdMdnFrnPhMHEilse2
fCiuMjfjcGzhvrbM8exmQjdwau/7L/TkPPHPjV0D35DT4/rV+QWKGMubcfBfyXg4czeX1/LLJIDE
TcTPqFNlr1/bEEsWQ4DXS5rLydcex8ZEUFE7/8WlfBhm9XY2ylx3KsERTj3Je8WXDmXQ/9te4PK8
Pgyxeg1HP/2LPKM3rMWIan6lc4nF6MwjOfmVfRhk9fJVZtNlusr2ssez2GjPff3WoX5O0ofsnEDo
5Hv+YajV+0c+7JRjoVim52Un3e4GSrP/QxG43PqvbwCQDLphNFPXLRkSrMpaVeAaioc4szV58xPY
n6s7nRPfta+cb//f4L7r6FxyZJbnRXubAzsV9vZq+enKWurSBVSZXogc0SUHfa9sw129PddPP/WK
L9DGBZcOEnNde45VbXAEknP8WtaHeMoOYX0hhGcqh1N3kX2PZNIfRlyyliTF86D0fg/qotE0e3kD
k+LBQJ6sGmfewK9ni9y3jyOtXkFLiSGdGUPtAI2YvXafHEyn3Uwv1YWC2uk8hfnUK/9xvNV7GGX1
kKZFjALDv5aQM+lq6kn1lU9gRaKfOXE7uWZ/GGwtREiNqhnwgi2raA/XN/cwDqHnRvnABsE5tys+
fS+Z+Bb4O4XdulpWQjMh8hMK42T3bIDAuWx9R3feq32/JQDzv5ihkB39v9GWd+hDiWAmpLfGYkWE
FBiHQIFu0CqbECbAv59rPwyzft8JzIv8zuzpYghsdPzr0D8jaPja5lteQc4TOSHgtIDO0ucLSXB1
WERO0fm+FesNea2efFA81S33VBob6bneCZf5bE8XS58I3swbnOkzC8qp2fHjT1itW2NMeqoMKA4X
P7FwFtGkGJEPwagdVFJ+sd/n2xpAyFidQzKfLPQ+jrx+isOkVMIMQXNBJs77ci9dwAO4TshLpcxS
EHOErvALcs+ZKz438Brdqc56gcCE5wqkTvIkp/q5nD+NdnSTuuQuO3AMkYrzlZyZcZanuV4gPlzw
eoFAwK3qfsa4aXpH6NSGbKkzl7bcsu9GWH7Bhw+jsHqpbHXM2KVOpeUvgI7J3JYGfhOprc8cqJzc
i3D2yeaYz36B1n0ezUjkClAVrw5R4XOxUcDMEsdDTAm5QHue67LeRdfnHt/pu/jPqOvlrhcDtG1M
o4rx2AA6IS7+zHd/cqL+cF2rPVahNY3aDVyAUYaeKO0CvFmS0Nvp+CqzJfl+kllj//4u3x/v4uqZ
NVMc+MJIgOXSF2vuSN8GgowB3u4fz5Xi3986TpQ/PzCgjCP5u0h7VHW+jHXzRhXK2+8v5/Qb+L9P
R1NWV6PR58bNBQc1mdE0CkTFQWRKxE0AWuT7kU5VI//cN8DKny/GMvt+6jX02P4IMEj1J7SZMZ1M
kBbnlPnn7ttqpgqNvK91gw83BjQGcqoi/Pz7izk5gowQQwaCr2C8+Hwx5ThWg4FNj9ypbGdo1cuo
jb++H+Ir9npZbP4ZY0mU/Tg5RL1VR0nD08/JeZWcbmsirx7t5jEi3WdyNNvQ7f53ui3PkYxPVwc6
Imi05hSo+urqtKgBPFRTjGB8Kx+67QKFrl4grf5Z2jLnuyQnP+AP462el9/oQmJ0TExGcTlEJebM
QwydK1ejI4FhZ27r8tF8mXM/DLb8mA9zLitl7PfaUkbeR1eatxQ+6mY8KAcRhfz5KvLkev1huNVT
VAnrnMuBa0v3C5aeWNGt5J43Np18If8ZZo0rH8LSl9S8bJz/Ye/MduNG0gX9KoO+Z4H7AkwPMGTu
mUoptVq+IWRb5r6TQUa8zXmWebH50lXdXaWqaZ+DuRvMnQ1bykwmGfHHv3xf1poHzQcSUfbrn1y5
69f+5ytHkyHNlcB6Pj7Bo98aXVuxkhOAX6PGegVW6urW8qJptbzFx2uf7M9ix79coNx/veiHe8NZ
irg3B66fFFDqAAIx+55XFHen5Cd3xl9/PKqN16ZcDoUftseCNYNpW15Jq28tcba1z2P15SeX8C8K
D6Z17dj59TV+PHm/u/nUArFlCViZ0AofrrqsqwZtomnwZ2e/v7wfgqu/2rU9rGsf7nK0hnXejXQ2
6IwLHn3THE9CZGn/k3XwB/z/T/fEv14n+FBJMRRFr/IaIy2beFuT3WQSGmxOETUsU7/e6t4d2lQ4
3tvWjX5rFfr/eqm/WToiwd/dXSs8Uv/tvR6zUZ7fqve//+3hna25ff+9V+q3n/mHydz9hWkSfOGO
TrfRtQb6T7OU5f/CrCo9frjnfR/iNE9V3fRj+ve/acEv1w78ILhWOejaBt38L5O5YfziwM6nZ519
QUf04f1XzFIfM428LxJvzL1ce00BbX8UsLSm1RaVwxSyfph5DCKkpfclaik35wa6uvOcqFgtNZIL
VpaNz1G1e/ndJbv79Ub9PRb7YzKG60IcTOIicKCQ8j4+PPSyjge/gEOAtC8ZQptEp7OestC4yVbx
T9aX60r/u0flTy91fWR/9+x3aKF9phfhX/vu3TINmzyZ2khgUoX98byk4jh0jFr/5AOaf35VKh10
LduUNVxqV398VVSYIOWuH3Dm7HT1Ssj8eNVKXHMmFacob/3vX5AS8b9/Rexjf/icdq2MuhzyIQQF
xCjc6KOUsvWyPQmowOvBbZeNJoYMsa9drIWUwR3yUC2a+SLW2aKV28R04xPTM+O2qgOQdhDm+td4
UnBapD6XX2YFCftY1b4dwdfW60jjDkfvKUe1zoa5004CehYMYDKj+NPNipk0aAb1l9wHQkoNqnoe
8K/SSW0WLVW8xZ6bJ72QIkOSPPTC3is0TMkpKA09/+7MVZ7svHiZradYz8uN8JnAyRxGd7Za5sPp
hi3Am8BfTZ/TmA35qavBN9jMHS12GW+KQjoc6FxfMK5nzldnkgqyTUziDEhrbb3FRGGfO62hhS7m
VF+EMQjDU2nm8xmsz4A71K2SjWEBHAxbxjbKyAAAfbatrkEubij7Ky7kAEKcB4IvBPM3f6sKp/sC
zA1gXqn0cgYFwC4alXA1nr3GXjKesa6FQ5BaZx3j+QaJt9tFS+VjzXaThAAzsbUX6O0x6YxZiW7n
p36tDrWrQVlhByMSTYsfnlJtEKAcRMDvt42ZOduhHzc5TBt3KzIg4jCBRhWpDjtPaOrkXOlzUymk
Fj17QdsL60W01RZaRx35FSCltuI1tVoc7CIHXlR8nZQ93TN6FR8a6egtqEzy6EZZLJGCXfjWaTNz
WlAdIr1L1KfGscnmZhUDDzI4FaPInzrHvY5fT5hurVaPdGnm31Nt0bcxMI4DcVNhRqUagydDUkNm
vslzNlkwlLeOVO1xGPN6ZSQ5zt860JGfC7dbVoEbJ99cADU7X9quvq46q8+jur2ytpNMzx4YN1s5
sK4Bqgt4EoPud5fOHNMX1BOMhFXSoVVcyplA4yrhblU7yXVsqQQO9tAdA7++G73q1tcda5P1WXLP
dBh87lmfiudUte3b1BfmRujvVqVb+66V8J4w97K8QAbamDVy+aJmgbG4Dw3ZQzaUdWC+FGVr3c1L
Uh2NRsgHUtTDc2zlubGyZG5SlVSWTidLYG5pOj/642tL71W9WWRcQbv0ioe+RBdjThl0e2t2mX3w
xyce+CVgiF/Ej0MXqHurdoJPlnLk4wxZ6HbQwM+Bzgu7HC7eWHXe3m6d4GR3/rm2eQJBHslzjKIb
7ZxIm8dMzvh/uyrbaJllXjqlq5u5s+j66lHH30xGd4hh/7VDMH02tcxZ1cOcb4FYyq9Dp8d5FOS5
9dWjC/tQA3k5SlDAj3GhzC23gnhM6ty4TQZXfe5pR3/oh1ggLw4AXsb5wdBc94Y5G3c1d/Jz0rvW
Ditvv68byUSiAHM2kQ3eDCVqeVpGrffFlF+ayvZ34HySXUWTwEppGIVgKM/rfmg6OE4Av1RHZTBT
3KYNlu5wdKec5cvsI7fLm1MJ0xWqyOhfhslLb/3JFV/9KZH3JKEAsgyi25oNbnozkO6uHhPnzicN
EeVGu2BHTGzY2cUij6jhfSfUa2r3ntOrfeBUww7ySgMssV/WJh1QB9r25kjQh7Vf2sm7//fL/8cW
L44gNO369K3RDkn48FFbFS/dAMZOsN8AD9pgbqH+qruftHjZjl6xAZ73mR6D+zJuL9mgPndwHsM+
bfax8D+VUNl/8nY+nPaubwfA+HWal/osLd4f4uBrzWKWDtsfnTCr3FqNzrrdNFt7RY7IUhFbSLv9
aYPBz170w56r+SL2M48XXTblI8uqtVI7aqVrcUUS6OHPD5kfDkkfPqWjX9/Q70ILoCvYrwsuelOC
hbbm01JcOts6uFCx/68uKFaFP75UXWbswwGf7ZoFdtG8pd0awP+NQf9E8WDkPw2bPibdf3w4biay
IT+i0Y+zDswKcQNRrCOC0W7nhnUsujZtDVHVhe5KbgIWXMaI1sPKkeGVdmFQZPhPsEM+nA//9D4+
nEThHVmFk85t2GdPplU+5s5TUxNE/PsLfL1+v48SfySUfvdpP9ywTbDQIklPBZk4b5t/acRvqIL/
0pHptn2vH8b+/X28eWv/+/VHvzatZBNJx//xx78Ov/49eW+uB5A//GX94zBymd57ef8+TCU/yi/6
7X/+Z//xtyPNo2w50rx9oxzJoPXYZ1/HPxxsKJdysvyn8OZPh6H/Wb21/+s//uJH/uHYDX7xSdZR
JmcZcD3H45H8h2XX/oXxFlBR10XCoAHxX2ch+5frwBUTPAFLB3+6ZlX+Idk1fuEgb3jsD2RDOGfz
b//4/L+dO7h0v16PvzqH/PFwwPmMsSfPvobpAXae4ONN7qUOzHpG1wlUh9SIRN4hyKjE7L25GuAK
tp3xabGGugpjfwkuTg5QehvnslTgw5fuRnFzbhyx9JvWNJOVX/edvXViePJ7y+IBinRHa3/WkUpH
2h/u1h9v+8f7pibGIMifWmD6VhPuMoDN1ArDeYHOkh5JHOkrt/Mr2B6BBpN5LmlOtWODHqBq8oyz
yE3rrM1V8jhXVrDTYVIaYUObVNj4WexGeQdNd60N6GIwybhNf+tbWfK59SqkRVXnh3a6FCbDJ30q
T21QaenlSjC1b7rGpzcvjDNNQiZzVXBKfLg4m8TAJ7rOoV5VYZCloE2aubFe3Vzo6hl4uTI3xuQ2
L0jyaivKa5k89MLsvjWiMiEEmMG3Im110OOaGwdru3VhZ4eg9Dvwn2NcZzhQG+37IjKKKvZQ2vHG
70BlbfSlQNKAuoIe3bk3yySyrZp/hUXoo7BQQX4YmqFpvgs9YxASiqMxpWGggf9sCJWKQVxmYym2
nJaqjTNNJeemZDz75hDA1yfk8qK6xmoQ5bk9rybb7JJPveP1p7ytJrWHU28Zl0z2znzTp7XzhS1/
Vgdl5NkYGmIUy8Z2CbzCTtVZETGcJOPbBBL/7ViOU31lu7PMT4s0LihDOOEIxjSndU2/+l0gA/M+
dWtx4bYgC2h6cfuoBWlNB5iwtfc0zosefkGX3k+UZx7boSn2LnjjL4Vv2c26NSGrhRNYgXVAv0qH
2MbAPpEFst7FNXCurvTqOgxgnkWBd52XyeJgOQVDb39tpsDdEGjbCSzfNnjwCnL9YblwEFoXWmnU
K23SJa4lO+keIF4wnTCqzpiJ4ftha/RBMW4N9DjlqdbSgu4lTuVJKJwhSDedbBvCZbuquvvGD7Jh
0+nUycNkMjWgIx4SE8ngZ4b+xEQ/oNuFggDZue6j13t+fDZQXRmvQVrp3qpA1zeuGKb0n3j5/KIb
SbxSRRIf4tRttGiI5VxGXlFb0xrgVvetDcbyUKghW3vmaDmXou6wZ0jRTCe7EhiVJFxkGx7oUs6g
oRmyeaAnZ+2rptxWjh+VYlyJAOBLPGsHGwLHzaQyuiRms3ry+ZRn09e1h6RR5qfCqyeKxUHWg/9z
Gs5kyWACN/QAGOXroeualclhqH50dcHAsenPww1+wziURbaYW16g+pbUbe6HmTalX8ze2+STcOFp
udMrF1H7ZCeOtWbxnKFF4uPJ2iU4zEVSHqHPUvUpeP/mpq245qKnmZyMwSajN3UK52w2VyOMp7Nz
ZQQOleNFsEvST6PnZdsqaORZORiw9jaWqSNrW/8+LBD04lYrotzt/WK3MJ2GaMQJ1LpqmuQciKl5
lAD7t5rRGpfB7tu9YybJJ1/r7LUj6vykYeF5sA1XrmI3s9ag32MGe6lJHGJVDdCuzeXQzrN7gd0x
3XRwLNeG17aXXjXBPXjgfonsqTP27JlFcDAKa0SzoNHlnMXZsuc4sRwwegS7OBgFHqBpXPva0O3n
2lyee2+eNw4Y2ne3nKxNu2QBgA3e4EsPbDCPnGDUNkvjn9JRBd/MUtXxTg162oTlYI+vmsn6CkEd
T5Xhh44N9D1w111djSvQ4A5gvhQnSQfwoE1dBYG0ptaRdnIbw5F/XNyhWWVVqj9Jw9A2nkKXdJs1
lrHNxUSTDbh8EL65vXPteLw3nMV5i4vSuNQkOh7Nas7QxDgX0636lSvb+AjNW55pBm8/cYydL1k8
MyjEnxBvDcMLSYBiI0t3/lS7CQbbzig2rZ7XD62FYFUza+ONbIe14VQwbETiO19tvU627mI4t4Py
zD3Dghuus9w5yeycZxIYkcf9/VkHvocRcyyRGsDQjfWF0hWyhjs9MYvQnYLNYs2fJrW0JyXr6s6I
k/RNjAUOpESy+omhxvxSFvMNF3Hcz5kvXqfane7KWASRqKt5SxpCvBrpnEZDFRh3bTr114uiHvEh
TdRc2paD6ZyvK02vT2O1hDyu0GhZVYUWJqObQ+FsmuZQAxRfQULPnzS/ZqtkakRxUnTyengaDaGf
Atih20BwXo4d+H7VjCRBVnD7xajEuSqTLKUKghkj9BYkMbWtKidS6EV2sp68rVs63mVKzfmOr/Vz
UjuMUXSDXE+quwJumgrilv1YgEyF5xD1sZ/esouCkrHxhITFYvTrqkdQ0nDqfBt0t92N3IxMehaQ
asNa9ubBltgdYUd27XEp/O5dIdO42It2p6f+16obtZ0cch3K4kTaoS8Dh0Pu9L33YakSk9Qb4rSb
3hDfevoU1oHR6xEbYLc2Wtu5yViqjyJHOhpwYxUlX7wEoBuCgMhvdFaNtSqFc45ptF1NPhkw7Ez9
1tLLF6HfNLYCA5zoD9x37r3O+PTaKAaggkrqGLnyL1YRT0dV1OX+upttG2XMu2kZ5gj8vn439SqL
mBIHT+sVwQsCCrUfgno6j2J8MyopHyHjt1dEs+Nis2Yvu7WSqnu1Y2j+O48n9+zBkD2k0rZ0HBOm
+uRYDbk7N9YfJwgSO/Ja4EJh3u4goLoyipXe72Zn7vYkAJu9veCHcro2eyW+iL0Q9lt+Wy+ufZqT
xvnieNowhXVv+09GbHnatuSOoGg/aeatadViEyTdezYv5sKOXMAhKtLmbZTmuFvs65cvWndVzA5Q
JdoinYcSadVdTGYQL03ifTatVAcu55uQ/IfOB+Q1tcmplmVxnpZ5ePBHjwPJ0sVRxvOekt8d9deG
d/tSNAhzUL1c03zZ8GwiN9/pjlCbYtC4oLFfnBklAkE2TfWdLRp1s/gm6i6tZbsSGLu+OjJrvsoE
nVK14CBUQZ1vrNwoj4teLSdRBNo+xhO204j9Dmjf2AEJXuyTsIxlX/apuZYKEVtqGeP5uvHvR3RM
yCpGIsHOsw7e4nU7MbT9se/g78oUqLmm99o3gm6YsGQrScakS+QvxrJeUgQelhmRd/raqezFrgXa
6U6f3whSquMVYa25tJT3KZoTtXjTXTp1yauU4xIZWnE00Rtg3ZEnhFUx4xTBWpPDyZLxsKJJa3jI
A67KEi/ZVtU+8xai9e+TKSmf8mnMbhngvp1U0UeTMVr3wsDtV5ZxDO2TmzNvff1L7XgdNuogifyU
4omWkFi2Svet1hvt2ZRl/0p2atw3czCNocWWWYd2q9JdRhSzK3Uea4sk/bdimdz7Eu/b24QhbceT
MXphpor0YZiVW2/8VGjfWEeGayZVWOGsFeM7CTHjQRqmCdW4MyFamtjCJg/6b2eQ60Ez5z4Je+lf
CqUXDDq0trbxB2Hdg67rzmOn91AZB6s0P0/oZp4rmafJGQcNi1fZoGWrma95GxgL36VZIR+SIm+4
lhSBbQSQPdVZuoPhARTa9JrnsXOQ5lXlPAbk2EO41PJz0RO2bvjdzacxXcqLdAY+P7uV/c3pR27b
NAHxvtaY2qNaTpobYZDVfvPiOfeAt/rLzvRa+LhuWwj/YCypTpzpD4zzjXogb5tUTJJzSace69oW
uwF9AeDSrhvPtakntGQ4THjjZna/TNoSkEKuSf5NvVNtVK49D+3cPJMdrRscNtV4Y+I/OGpWa9Cy
pEZj7btjMHNP9cYmxtpU8G4VX+/CLXJOlZZt9Cx2ENdRs1JRrwh+zLQe8XRnI6sDQ7jDwu3Enemh
yksteTad2HDWubb4YJc8QDJEfUq8OOxEdxhI5jtlJmx9Q6bZz0sc3OPIGGkHBTP5QpjqV4TfAPFW
DXWq96XGbhpgf7i0Zg+ELwcTGeVBqt835ZJfMuhhWC2rbIxMfzQ/dVPLcex3x/q/OCj/MT3y48AJ
b8WkMcYFseRY1wPp7zJdgZv2jpd2C/6JuLmbm959DIJW7P79q3zIYv76Mjz4dDUzb+hDdPrjyzR2
q3MK7WTYFyLZ2JwJN4K9+K7p0vx1HEumWoqc8UsmuPR8bbs9ubcFtGSG7KOeXwml3E8GzZk4KZyi
3vx4d//PZ3D4Lv/PGZz7pn/LrjP/7z/SSvtvf/8bLevX0evfUjiOTwoHLg2ncJPWJFCb/0zhuKRw
6FPSOU7QrOReEVm/VbOdX2h9x37kw/+kYddy+aF/ZXBIUl9/owFM1g7AMvyXMji8uz8kQyiG82uY
JTEYB/KuyJQP92aCUmYgDobfRkxXRgXiqKex6CpF1cLvwUHHS4uzUM/fcm/wvrttisNwEVC3l43b
+MZqbFhGqdTwOONQxNXQxd2qzsxYRnanG8ei1/0QaSZBVbOY/Y05GiUJi8Ww4dSX2WWgRnZZJpuQ
wMdYdpQYtYgEBxYUlGvrihPpe9A5C+U6dqC9QbTIiqy9BF6aYXqcOQENlQFnYxiatxKwPmT93m1v
4iLvcPIExRm7Uv3AY5NHqcZJNhzbRN9wEq61iEOi9KhtzBDWEDuKg6Wn8rBUS/dKhaq4gbWf3xJm
JDg2dUcP7WyxxjXukrQMiU+zmwoB37GaKkRs2AvAx/f58JIhrj5pbOabWmO5vS7e8ddktppHbHu4
tZZlGpHb9suyDchu7iXukDYMDEX6ZQy+p/m8hAXtw3sEpfw/SlmIhONM3RYA1zeWJkmKWfhkNPjv
jnzW1Ojy7yLbEgFlmzIY9SiZUsb0HL/azbDL07ApSmzxupJNOAgKL4SK3gaofrmt0aZ9rtyUjD/2
3l3Qaa9UtoYbr6rbfWW15klhqA3YjF1rP8WF9ipNiml0NQXbAHh/lBecvgvULF9n30mfXard19/3
MjbOe5W78a1XpFobuVqhEUToP5JdrUBZlsxYYikQhXkDHIEKqZMcEVTO92oqmw36DZs3HG+UpXAg
lNq07dvKOsxZ1uKx7O21jsoFD64e2yuBpe4ln6wJi5TjHbwkTx+tbHQPaI7UZtDLBBFC6vivqCbt
SDdj/QTL0Nmi3QkOCQ8hepQpuI/ReqCLwmYEHyLB4aBRD9QZGIJhjOkGqE+qiH+m9FZ61NQ4KkPp
YCzmqcjscSvqAENmmjokMwL3UmppDoxqacqoisvq69Ba9UW4ZNTKoC83JP6SU9JhGxDo5/Z1CxHU
KuSnAN9XZEwBjZNaZdKvi80jVFR2aS2cixuyHJR/itbdNUbqvLZmI75kZX4tr9f2bTb0BSqnjgjS
IVAm6hbFHYaGesGE52tHrWHyL1Zjuq3Gq+04bYd7Rx96MAZLodl47zV5MyujSdYJOpXvdDS2jXmv
3IGKpvDS2GzvXdsSd2zCcR/6leweCjmStBza5XFOY4YIC+RNx5nQ7WVuxPyuj6P9VPYyua0LF0JX
m1ivuj7YTxyLMk7eyYj1LfDPyeAAO0FA1YUJRu8tlNwMuOWiCFSuXAIhUMfp/diu/cnsP+kF8is7
WNKXwTb98+xZ2jHp9fl9gZt64cDSbuchg5RlWMtRl0ay6hKd4S+NtWTX2GhhglL6b9PQpGfLnNED
aLK7YEz2HgWInQ67s0wvQ9PiRyWZirMGwUBDFvdxaNv0UqROGzXdWB9gipOP46fn9waL34stpvrQ
i3E5a0tdvjUab2LopoWk5DCspn7Wn2keXh5VTXAZxmMmn9q42SJHzr/KxjawsGIwuFiVO991gxXf
2AZ6r3BRXobZO9ET9IZu+dC5uRvO8UIEmSqVP6TCNraiC/RXsozund7pHiInXb/nvkIaKCGi2VCD
vpS9D3O2EOljSnvRS0//xaX0rcJb14NR772e6eZYpyJnUyOfwonW041vg7ltG3I/nNC4qUiA5kP2
gl7v4JAL3qFetzAqB+4e6Xn3ki0K1ZrrJsDEyOOHVOr7nSeWpOebzadzCsiWdK0vP1OiGCn91/sB
Zt12mvA3hGOvvP3A+gVPt16oYYtW3U1+ISPLt8smGjwElwEHfmwXQDkmOhGOHSe7JSzjEZMyR1Ls
hW0V0cFfPfrNaDyPWYwwOzelQmFjl5FTK+2mtZWx1gmCNnYK9LrBGRb1HGXZxnrOPmKBpEzpYwOZ
Vxxt7IdxaBfzp7KbjV3jKn2Ty0SdMnSyZzp3YoJ1Kv+NLqzHCj19FMChuFT9ZG75/roIm2R7zq2y
PuM+TtZNn8WHErnFrsmMq3xeJvk6t4rxPM2qO5V5/8D/ZWltm6Prl20HQmYU6+76lRReom8tPEDf
LHbjg/JwViRZFnwfurwCnOA1zlFhJiGoHf2TlWJRxnpSkJcub8Xslt+vB7aoxWDz2MhYf1Ex6ysI
hFuZDHvHqCrSP8QsWMyb4s2KabIwiDXXg9F4+3I20R2LJtgZpOIjF3DUUWkpZ4UsseEJquSbYbTO
Xdkl7Y0xuvBvAe9up8HStsqzT4U+pJFlizRq7eEt9iSnQY/mIR3p1bkIVB81mjbuMk8zI0CvxrEv
hyzy/CLAgJHle6ELjCNLW3FXyORLmWOB8eWM12N2mn0wOv2GjpZuw6HH/lRwfb61ws5vfA6kpPNl
cyYMiPfC0i9aRxKG6CCMNYFnx8r1bW+XPACcGbZZZpsrywNK5ht1z7PIDpfWBkKkvDLoEPCCvv3m
VARM113FViuLHiT2cpe6jTRLTriatSGeRj44dCWNLZ49Abpb5j2RFnl7nzqCn45lZHYBXvl2cSb8
ma1H39OSXSw6EY6agcHGgWkId2Isjn49+J+7fDR3mTnED1nm0g+nB2hXEaGvYsOEdDcxOi6x851N
ORfHJG1f0S53r8x/GTuQRPMa8blzKQ3JnHvX5HczzTsniQFm1+tGuubzqQMOHPJalGkOfQzEJ6wt
XVzUVOsqbKxmXie9EszSxvX8aVZ+fWYOg6NGo+QhMZxiL+J6ehGDpt8ZMmGunLL+F01V7ioGoHif
CFes585LIuEqmrXqams5U7L1mzK9sYr5ub2mNJxisU+Qq2swfYHd7vsJzY8hK/qnR8Oh+mAFqXhU
RmY9Tn235CEa4fbYpDaGFJfZSkppBzkl2OERAd+VlCXcE/ZMa+fib97TLzQeF/ezU3X1gaBFsOfp
pRmZyqwYh9Ec1qslro/MejCY3JoYfFpVd1scdpQdHNuoLm2p2JS0ecQd0+AIPNWmoe0Ftrq1RqT0
dZkZeycR2ObrJBvJZrA0M0edL6oLPVRmpLPHLqUK2HtvS7ag2VswR/pu5X+hnmNvjdT/LAc579TY
qIsSRbsm+svOhjt+0d0JYGcwET0v7vTkdgmJyd5cvuujxgpgO+0U8v6CkLO+OFRmXT074LtXNWiV
jUkTTx0VVAj2TV9M792QiDc+kblmg/XbiB7b5TEbrGGzGPSokTtujplB/jdKvap4X4BCXCh36mgW
TK98yRwI5LRZ1y+jacRrOftsXnhUiyHsTbgY5dVhmztiWxWzeyOoL16Df7ltU0HJDbtn+kpS01z3
BBN1OM302UW5g6aeFn2kjLZPvQR2EMWFeKyPAE3Lk4iH+OjW7Xx2lR2/BaPULgDM02+lZpr7bCrm
lRfXcGZJ8MWrtJrMU4BUDvH8FJNFyAi/DpVuWgdCEbsIKR6MFCnJlfq4zKJJmfXXOh0Zs+Aove50
e7irSOJstLmk0EfiPzgtIqGfv7OEOhVmOyGU9eenpavSncJl/NWttHzjaDi0xFiZ46ag+hlKirbb
3JjkakxH8vSUo3b2xNPl5FP2Xcaa+WhZ/acgLo9aW1vnYH4Ueiwf5iAjnb7k68Dsj9xD6sgfdDKH
FjLPXrnmOrEsirW6a9HNwrv7KihRfZlne/LCJWmbz7LuWdd6pLJG7EznPlHWXaHKAhlSoe2cNK4e
zNzUv5ucYM6Z9N1Le1XEu91ANplWV/aE5qUr/RtCnU1e5qS0p04Ft5NpxieVD9XO0lxry3NSr3M/
QBNKN9jBzJvpS9nyeGM+G17IGSWIEissZpL9BAZwoDEJKqt9SdODXC1ZOofGIvHf1tSO1kE8yYud
Ip6lUD2HDNnQIKAl5n5QUj5Ir1xomeEZvMPEPnxvtF4crWzKyZTG80tKBU/P8mcz7cK0KNfuVEZj
qh+uu+7UDk8yiJHe13fILujWi5f7eKrUyjGre1lfVZfByZTeA3o6ABnxfZlp766nPZhgJXIvPpeF
5vIASdLMjdUPbLazu8Gvh6G+7sg1zXLi1S3nlnqCIEFF/8K+XcrpWOEmXbVXEH0QTO65a9yG2oQV
P2qpMVAQnJvbVFTFoXUgyUzUnu6yJfe3Yia71YyDtjHI2299DhZPhVvLcPQn9Gjzckhi3T8zbaL2
kydPedUuU4RrbTjbCI0PsR7MmDipwtB8uc+omhIUGsn3xKwdnkjTIba20udk4TxKXThqFf55X7Jh
s+27bBxnIuD8klY0waTzSe8n50yxkJ5egmQTZ443OI8EML6+GuvuftapI7LS0HCgkuS+mkqfEj3V
YCo2ln0EzGlejMrtmL5Vi74CqCRYrmSmP9Fza7UrnoDlGYVvJ0LLK/JXLkHy0rhSv7P0orBo28pE
uu4Erb6iztRWk2RYsdMmDza5ciSKmBS3+jXYiysKpuGgCxoaqupSpuZ3IOcipzhhpxeMDCSey55x
6GoZjroSxiZLvfaCg3rwNr6jbNxeZUnM6cjgWXVAVuegnq9ljLo79ypX0WDpzXMwViPNH3ahfa+7
mS5ak713gxEcYtQkyjtnkOq5mmncjlwHDQTxj31MBN3eXpeYq2mYk12GizGcixE42pRp6SodPLn1
VFZHLQf/Xa17fcZ5Pa83U6wZJ1QK6rI4hXbSi7hYT7VEwC4zWa38oCXZQA9tUYTsNsXJG6i0x0LR
8zZaAm5DpvkHrzC8Ux77ONMs3MQUjmqakGMj2dPXKx8rT6CVS5PcjZRrjZchqHgWYhUn26Wv2XZa
nJ9rkgrzrU4r7brt02yXl0VR4SO9vsZcs9U6KTYHl3rlep7jwQ454P9v5s5kuW0kCcOvoheAAvty
mYjhIpKSKNGi3Fb7gqAkGgAJFPb1bSbm3Ld5A7/YfKBMtyjLHrepiWjcRFKFQqIqK5c/84/TsRlv
6GmXd6z/mijtwA6bZgQO1B5EWdhMy5TQEi2AoGd2iBYM3LSCM9IjMj5SI6/nla2Mbl3UbPUsVcOF
n5u0lXIN7IAmiy83mgm9XiZLtyr8thMRBPm96bnaRZgAfUmquP0NG8s+r6AVuchDy5tVTdwtM6cT
s7bU84kfpsYA7Gs5N8vOv68h8fRpU6xG6kDyUgIDcW5FQ9PBqy8iLRzKMXx+hJuydFq4hb10yzQf
aATLl4ESRhOi2dqyjFQHFke7oLFXsY0u8PXFLG0lZxIbBboQl1mMNL/anOEq0Ig9aD+lMq3u8y7H
xzLEEA/XmJaOpt0KC+IQ1VU3H1w5kSmrteRPtUViM9tY0dj0NDiSt4nXTGkPaywiUllj+E2TeYgJ
NAPdEX1y/cJ5l7g1Cke3FeCtUNsNOmFg8QHEof2PFDuf2iIQkP1FMegaGELpKAJml32ilovOMuRr
OAbBD0IIk112sRYthJ4316YJDHsWSSaZ/VCXQRSQkR8keFezKN1aNxuQVDde2jRLMF7llD5DypwN
QWLLNsNLp9wYI7YnYCoMN3KZSvXBU/uD05W7y9yPikc5rvyPQk/bi9huxNmmTmR8NI0yvrhUZrKM
u20DWX+UlShcZGUS3ZPqjs7jJpDPthGks1JUuTMrINVNjqc9j3RNm7XmJpqGbegBWFYt8Aal3/Oq
NOU8tDEtB7rapms1gcWSAgt6jOmV7k9jrYDNPkpTYi6QiHcOGYrYPVNtkVwqjiE+QtQULeHty263
qpHfuGHsjNVAU6ZW0UJL3ujavJGsagkRW33X5jJtGXzdnwG+8t9J0K9flFR4EDOKG2lg1BqYdEka
pYrcDs1SCQet7dmzMtqEc1uJyqlmghcPg62OxGhwjjHr3riBi4OtSf5wmwcWjaTII9JvoC7gYsXu
w8cyKC6RVCbSxNXEclUy0pUjSw8GiZVLSXSpBjhDvA/8NJ10qkQe3c2Ux7z0qhsBcmdqBIkyMbbU
U5iuublU2dPgWttcpENVIkYp1V04wZ/VF0Q8rZFNmmwCqik7KzfWxEiJgxTvA1dylmadmjemUbu3
uKjyWdvEwe96a0H3KMpoXKpBuuy8WIJOtKrHvuRGZ6JUqivTKz9tiDstSZPq7kDJJR9uIIhEu8pX
7rLCUjn/ABhEYluMG8gCx566MUdm4blEs/WOTuCV14GQssAAQddMvQ6MmReUFMgTkrWbO9eF5ltD
pc8cOC8HZkR22mlsi1hVvWxJ1g8LjZSTWzWNIH1SRhcxrvHCrT1/XgYcgFEfKSxjTb3OTU/5zdby
6tqvtfDO8Zr3emuH6pRUtH1NzDDQpmRzWmOAOw3bjpcFUxDohP4UOlptzxw3JuiFTYR95CUVBNiR
kFXIfWvRTCUd89SQlMyaauG2hZPYTsq7XJeB1xSQX1XolSbanCWpoi3cxJdYRY2hmBOsVaxkMhAE
BeVI/d0Cmm+eZaJoYeGj/oBUdZxNNw6BK5mlTX/QIjbvQBgpmzEkzC0Lxt1QNQDwk/9gnRG3E/5G
+x0AQXZHIiS44KRtbu2Cumz665QtcAU5899ZCuEzYVaMQMlOo87tAiwIGraisXQOqk/DIch8bZQl
WzGK26a571SdEEMmaekVJoN0oetZQCIxk4j7ZT5xSGFzAAxEWTb3VujaV5lrcju7LtKl5uOAE930
O3tKm5SA159RmzU0gzIYKpyl2KNhIE+zrmu6qVZ3hAQ8o9GIXVXi3KPObsyeqteeQRyvNy3Q93Yg
OYSra3FeuSau/FYxfW9Qk/kbSqViz3dBzQojYFTnrk3wFkp3Z6s61B9jEY3x6MRIt1P/A1uJRywS
cV5ITTO2opJucM2GSIpa1COtyikZBpa08HzLPUfvljd5hzcokUxtUzu5sqxYGceQmN6KUtvMoTK/
Du3mnenQdRdsqgCY6RLnkGMjm6booXNd+NvLTaF5l7msiwvTlT5GuYPPKCk4olTqoyk90wCqk8ve
fWYlABBTU3pn5EpBmy7zzvYvhW6+t50tyz4OxDoo3GAiwRU1LilkmAK8KED7VsaH3PYaHy4GKzqL
UirKrERAAL1NlGFju8tSw1X3NA5MY1uSk3DtbkoL43DQtFb0scqr8BJUnzVSsy4dOrXjXcsSPKyt
F9G5IoMn2qYKZhR4bn2egPmiXXbn0dAZo+/cgq12ZWUEpTMMtRV90Zu7iN78v3VNVMyEVPkfYgJf
7rikKwY0B5vYF8MG5K1DXgvkANYUUbZCS+IrjzU3j1nc71zTieaon+2VA4ezOuhcIwB5WSTuEuKe
ZpF5eT6JNhrE0gAaOB+KmI3TtN5jZkM9RsVkEt60HRF/DD3zuks0FhZxtBifB1r45qnpz1/Kts6D
h4zo66fiEBy/A3j/iZz/f6Hqv0y1B72Pd8nRZ5j7ryDz/tsFq6S4jX/tR3u0+usDHeD0gdiKokf9
e0EsDjK2pDwPUry7Ge2m+6MBwhVlzeUjFQCSIp/Sgpqrp/+iOqiP6uy+MLRTVe4v2qbtrqdbPZPN
957+xw92s35ZuvDtOAdz/2GRwk8+/4sxnj+/c0qxLnlkEPW7i4Lk52LQtVOn59eDKfDpe0p9kPjf
SAw0TO8LvX9mGXxfDKp2Srsbh6oM+tf110sxmKemCkFRzxezu6in+JuJAXDBsVJQ1FPo6ag/0aix
fr4KqN836M4NKQYFKLvr7/b4it63ijhuEWinwMhUHo/c2u56oRJM+ZRtQl2W9WUv/AWV8BMb5qtq
HfpB+LhTqsE6f033fu8He83z7fdfNMoO5aJ+hZ3sfteXQj3der1T9v3f/zjYKbvd/uzL/e5//u9f
nu/bO786p/2H02CdrbIHv909bftllk/9Jv75kK2f63ogM/s/X63e+vrufzhouPLiVb4fqJcHL5vN
/OfjfVMW9nMDR6suFi9G3q3JY0cerPzgAKYEXTI7/dhhz9aPyD48ea38DeY3lvaxdxjnyec/Mpps
nyxXooj3Az7JHMqg/Qe//jYncfD5X4cvEwA3aKxjpz5fZSvhf/73waRhCH2LSc9XSGSCeZfHJ4/I
pgz38+0lo8q0O9p/8OuSeXaT/WBPo2PM7D/49dEXq+yw+BEm4b5e8lixM+7q8x/3L1a7+hb7c7HO
xCq6Lx8OXyndZd5A2jcBr3J9cr7CZ8oOb2DZPW/QsYLpbzBhSXITlsxVnBUHqpGmbX3v+7e9y8uF
yT3eYGf1qmB1MsR5yAJx+KKpmH8DnbBk154sVsDM9gLZLfwnI/FYCf2gB9LXs/PXzo/b+AHJBOJA
m2k0iX4DmX+/WPnISc95hfnJhHMkOJw3QNo3eJWLYFV+/uP5awQD+xZn3w+wv0dK5CYWj5//Iw4P
bCL8KmWp+wc5Su+uxKHmdTRdNnpeyWOX9nD9UqnvWLGt/2lqvGb5fXUQv7UH9/7va/92aOv2v3gI
mdY//gsAAP//</cx:binary>
              </cx:geoCache>
            </cx:geography>
          </cx:layoutPr>
        </cx:series>
      </cx:plotAreaRegion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Estoque!A1"/><Relationship Id="rId2" Type="http://schemas.openxmlformats.org/officeDocument/2006/relationships/hyperlink" Target="#An&#225;lises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microsoft.com/office/2014/relationships/chartEx" Target="../charts/chartEx1.xml"/><Relationship Id="rId6" Type="http://schemas.openxmlformats.org/officeDocument/2006/relationships/hyperlink" Target="#Estoque!A1"/><Relationship Id="rId5" Type="http://schemas.openxmlformats.org/officeDocument/2006/relationships/hyperlink" Target="#Vendas!A1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An&#225;lises!A1"/><Relationship Id="rId1" Type="http://schemas.openxmlformats.org/officeDocument/2006/relationships/hyperlink" Target="#Venda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12808</xdr:colOff>
      <xdr:row>0</xdr:row>
      <xdr:rowOff>0</xdr:rowOff>
    </xdr:from>
    <xdr:to>
      <xdr:col>4</xdr:col>
      <xdr:colOff>460588</xdr:colOff>
      <xdr:row>5</xdr:row>
      <xdr:rowOff>8747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08" y="0"/>
          <a:ext cx="5634502" cy="950041"/>
        </a:xfrm>
        <a:prstGeom prst="rect">
          <a:avLst/>
        </a:prstGeom>
      </xdr:spPr>
    </xdr:pic>
    <xdr:clientData/>
  </xdr:twoCellAnchor>
  <xdr:twoCellAnchor>
    <xdr:from>
      <xdr:col>4</xdr:col>
      <xdr:colOff>832436</xdr:colOff>
      <xdr:row>0</xdr:row>
      <xdr:rowOff>38421</xdr:rowOff>
    </xdr:from>
    <xdr:to>
      <xdr:col>7</xdr:col>
      <xdr:colOff>640336</xdr:colOff>
      <xdr:row>1</xdr:row>
      <xdr:rowOff>96051</xdr:rowOff>
    </xdr:to>
    <xdr:sp macro="[0]!abrir_cadast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C9FCB35-CF8B-FC15-7075-524FD7B81DD9}"/>
            </a:ext>
          </a:extLst>
        </xdr:cNvPr>
        <xdr:cNvSpPr/>
      </xdr:nvSpPr>
      <xdr:spPr>
        <a:xfrm>
          <a:off x="6019158" y="38421"/>
          <a:ext cx="2004253" cy="256135"/>
        </a:xfrm>
        <a:prstGeom prst="roundRect">
          <a:avLst/>
        </a:prstGeom>
        <a:ln w="28575">
          <a:solidFill>
            <a:schemeClr val="accent4"/>
          </a:solidFill>
        </a:ln>
      </xdr:spPr>
      <xdr:style>
        <a:lnRef idx="2">
          <a:schemeClr val="accent1">
            <a:shade val="15000"/>
          </a:schemeClr>
        </a:lnRef>
        <a:fillRef idx="1003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FORMULÁRIO</a:t>
          </a:r>
          <a:r>
            <a:rPr lang="pt-BR" sz="1100" baseline="0"/>
            <a:t> DE VENDAS</a:t>
          </a:r>
          <a:endParaRPr lang="pt-BR" sz="1100"/>
        </a:p>
      </xdr:txBody>
    </xdr:sp>
    <xdr:clientData/>
  </xdr:twoCellAnchor>
  <xdr:twoCellAnchor>
    <xdr:from>
      <xdr:col>4</xdr:col>
      <xdr:colOff>831155</xdr:colOff>
      <xdr:row>1</xdr:row>
      <xdr:rowOff>152401</xdr:rowOff>
    </xdr:from>
    <xdr:to>
      <xdr:col>7</xdr:col>
      <xdr:colOff>639055</xdr:colOff>
      <xdr:row>3</xdr:row>
      <xdr:rowOff>37142</xdr:rowOff>
    </xdr:to>
    <xdr:sp macro="[0]!abrir_cadastro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9F43180-1DD6-4E99-BB98-BD47E49D878A}"/>
            </a:ext>
          </a:extLst>
        </xdr:cNvPr>
        <xdr:cNvSpPr/>
      </xdr:nvSpPr>
      <xdr:spPr>
        <a:xfrm>
          <a:off x="6017877" y="350906"/>
          <a:ext cx="2004253" cy="256135"/>
        </a:xfrm>
        <a:prstGeom prst="roundRect">
          <a:avLst/>
        </a:prstGeom>
        <a:ln w="28575">
          <a:solidFill>
            <a:schemeClr val="accent4"/>
          </a:solidFill>
        </a:ln>
      </xdr:spPr>
      <xdr:style>
        <a:lnRef idx="2">
          <a:schemeClr val="accent1">
            <a:shade val="15000"/>
          </a:schemeClr>
        </a:lnRef>
        <a:fillRef idx="1003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ACESSAR ANÁLISES</a:t>
          </a:r>
        </a:p>
      </xdr:txBody>
    </xdr:sp>
    <xdr:clientData/>
  </xdr:twoCellAnchor>
  <xdr:twoCellAnchor>
    <xdr:from>
      <xdr:col>4</xdr:col>
      <xdr:colOff>823472</xdr:colOff>
      <xdr:row>3</xdr:row>
      <xdr:rowOff>106297</xdr:rowOff>
    </xdr:from>
    <xdr:to>
      <xdr:col>7</xdr:col>
      <xdr:colOff>631372</xdr:colOff>
      <xdr:row>4</xdr:row>
      <xdr:rowOff>176735</xdr:rowOff>
    </xdr:to>
    <xdr:sp macro="[0]!abrir_cadastro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A6229F2-3A7F-47C4-80BB-4982575F0104}"/>
            </a:ext>
          </a:extLst>
        </xdr:cNvPr>
        <xdr:cNvSpPr/>
      </xdr:nvSpPr>
      <xdr:spPr>
        <a:xfrm>
          <a:off x="6010194" y="676196"/>
          <a:ext cx="2004253" cy="256135"/>
        </a:xfrm>
        <a:prstGeom prst="roundRect">
          <a:avLst/>
        </a:prstGeom>
        <a:ln w="28575">
          <a:solidFill>
            <a:schemeClr val="accent4"/>
          </a:solidFill>
        </a:ln>
      </xdr:spPr>
      <xdr:style>
        <a:lnRef idx="2">
          <a:schemeClr val="accent1">
            <a:shade val="15000"/>
          </a:schemeClr>
        </a:lnRef>
        <a:fillRef idx="1003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ACESSAR ESTOQUE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217147</xdr:colOff>
      <xdr:row>1</xdr:row>
      <xdr:rowOff>3</xdr:rowOff>
    </xdr:from>
    <xdr:to>
      <xdr:col>11</xdr:col>
      <xdr:colOff>0</xdr:colOff>
      <xdr:row>14</xdr:row>
      <xdr:rowOff>128650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676292F3-A162-58E1-E57E-6E3FAB2ACB3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53076" y="185060"/>
              <a:ext cx="3859553" cy="25398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5</xdr:col>
      <xdr:colOff>14842</xdr:colOff>
      <xdr:row>15</xdr:row>
      <xdr:rowOff>139534</xdr:rowOff>
    </xdr:from>
    <xdr:to>
      <xdr:col>11</xdr:col>
      <xdr:colOff>0</xdr:colOff>
      <xdr:row>27</xdr:row>
      <xdr:rowOff>90056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9064179-DDC4-2212-9F95-93B32C4AB6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291933</xdr:colOff>
      <xdr:row>1</xdr:row>
      <xdr:rowOff>13854</xdr:rowOff>
    </xdr:from>
    <xdr:to>
      <xdr:col>17</xdr:col>
      <xdr:colOff>643246</xdr:colOff>
      <xdr:row>14</xdr:row>
      <xdr:rowOff>128649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6750C4D-3ED2-077E-052C-358A94909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297872</xdr:colOff>
      <xdr:row>15</xdr:row>
      <xdr:rowOff>142501</xdr:rowOff>
    </xdr:from>
    <xdr:to>
      <xdr:col>17</xdr:col>
      <xdr:colOff>621475</xdr:colOff>
      <xdr:row>27</xdr:row>
      <xdr:rowOff>98962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3BC07E8-337E-0B89-BB59-CF47A71FCE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286987</xdr:colOff>
      <xdr:row>0</xdr:row>
      <xdr:rowOff>69272</xdr:rowOff>
    </xdr:from>
    <xdr:to>
      <xdr:col>16</xdr:col>
      <xdr:colOff>286987</xdr:colOff>
      <xdr:row>1</xdr:row>
      <xdr:rowOff>69273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5EC5F173-5DF3-47E3-8A5D-8709DC5871B5}"/>
            </a:ext>
          </a:extLst>
        </xdr:cNvPr>
        <xdr:cNvSpPr/>
      </xdr:nvSpPr>
      <xdr:spPr>
        <a:xfrm>
          <a:off x="9708078" y="69272"/>
          <a:ext cx="1959429" cy="188026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chemeClr val="bg1"/>
              </a:solidFill>
            </a:rPr>
            <a:t>QUANTIDADE DE VENDAS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247404</xdr:colOff>
      <xdr:row>0</xdr:row>
      <xdr:rowOff>59376</xdr:rowOff>
    </xdr:from>
    <xdr:to>
      <xdr:col>9</xdr:col>
      <xdr:colOff>247404</xdr:colOff>
      <xdr:row>1</xdr:row>
      <xdr:rowOff>59377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9FF01604-3C40-472B-9BC2-BBC2F565199B}"/>
            </a:ext>
          </a:extLst>
        </xdr:cNvPr>
        <xdr:cNvSpPr/>
      </xdr:nvSpPr>
      <xdr:spPr>
        <a:xfrm>
          <a:off x="5512131" y="59376"/>
          <a:ext cx="1959429" cy="188026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chemeClr val="bg1"/>
              </a:solidFill>
            </a:rPr>
            <a:t>MAPA DE VENDAS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174172</xdr:colOff>
      <xdr:row>14</xdr:row>
      <xdr:rowOff>152400</xdr:rowOff>
    </xdr:from>
    <xdr:to>
      <xdr:col>9</xdr:col>
      <xdr:colOff>174174</xdr:colOff>
      <xdr:row>15</xdr:row>
      <xdr:rowOff>152401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DD492D63-0CBE-44D0-B692-7572FD081DEB}"/>
            </a:ext>
          </a:extLst>
        </xdr:cNvPr>
        <xdr:cNvSpPr/>
      </xdr:nvSpPr>
      <xdr:spPr>
        <a:xfrm>
          <a:off x="5497286" y="2743200"/>
          <a:ext cx="1959430" cy="185059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solidFill>
                <a:schemeClr val="bg1"/>
              </a:solidFill>
            </a:rPr>
            <a:t>FATURAMENTO</a:t>
          </a:r>
          <a:r>
            <a:rPr lang="pt-BR" sz="1050" b="1" baseline="0">
              <a:solidFill>
                <a:schemeClr val="bg1"/>
              </a:solidFill>
            </a:rPr>
            <a:t> POR PRODUTO</a:t>
          </a:r>
          <a:endParaRPr lang="pt-BR" sz="105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250373</xdr:colOff>
      <xdr:row>14</xdr:row>
      <xdr:rowOff>171205</xdr:rowOff>
    </xdr:from>
    <xdr:to>
      <xdr:col>16</xdr:col>
      <xdr:colOff>250373</xdr:colOff>
      <xdr:row>15</xdr:row>
      <xdr:rowOff>171201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A1870EB9-4FBC-49AC-A8DA-E34D36F54035}"/>
            </a:ext>
          </a:extLst>
        </xdr:cNvPr>
        <xdr:cNvSpPr/>
      </xdr:nvSpPr>
      <xdr:spPr>
        <a:xfrm>
          <a:off x="9742715" y="2762005"/>
          <a:ext cx="1959430" cy="185054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 baseline="0">
              <a:solidFill>
                <a:schemeClr val="bg1"/>
              </a:solidFill>
            </a:rPr>
            <a:t>FATURAMENTO POR VENDEDOR</a:t>
          </a:r>
          <a:endParaRPr lang="pt-BR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601276</xdr:colOff>
      <xdr:row>17</xdr:row>
      <xdr:rowOff>141515</xdr:rowOff>
    </xdr:from>
    <xdr:to>
      <xdr:col>21</xdr:col>
      <xdr:colOff>32658</xdr:colOff>
      <xdr:row>20</xdr:row>
      <xdr:rowOff>141515</xdr:rowOff>
    </xdr:to>
    <xdr:sp macro="[0]!abrir_cadastro" textlink="">
      <xdr:nvSpPr>
        <xdr:cNvPr id="16" name="Retângulo: Cantos Arredondados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05FD3C6-2CF5-40B8-97C2-CFB1B1961C51}"/>
            </a:ext>
          </a:extLst>
        </xdr:cNvPr>
        <xdr:cNvSpPr/>
      </xdr:nvSpPr>
      <xdr:spPr>
        <a:xfrm>
          <a:off x="13359334" y="3309257"/>
          <a:ext cx="2305210" cy="555172"/>
        </a:xfrm>
        <a:prstGeom prst="roundRect">
          <a:avLst/>
        </a:prstGeom>
        <a:ln w="28575">
          <a:solidFill>
            <a:schemeClr val="accent4"/>
          </a:solidFill>
        </a:ln>
      </xdr:spPr>
      <xdr:style>
        <a:lnRef idx="2">
          <a:schemeClr val="accent1">
            <a:shade val="15000"/>
          </a:schemeClr>
        </a:lnRef>
        <a:fillRef idx="1003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ACESSAR</a:t>
          </a:r>
          <a:r>
            <a:rPr lang="pt-BR" sz="1100" baseline="0"/>
            <a:t> VENDAS</a:t>
          </a:r>
          <a:endParaRPr lang="pt-BR" sz="1100"/>
        </a:p>
      </xdr:txBody>
    </xdr:sp>
    <xdr:clientData/>
  </xdr:twoCellAnchor>
  <xdr:twoCellAnchor>
    <xdr:from>
      <xdr:col>18</xdr:col>
      <xdr:colOff>598715</xdr:colOff>
      <xdr:row>21</xdr:row>
      <xdr:rowOff>39060</xdr:rowOff>
    </xdr:from>
    <xdr:to>
      <xdr:col>21</xdr:col>
      <xdr:colOff>30097</xdr:colOff>
      <xdr:row>24</xdr:row>
      <xdr:rowOff>39062</xdr:rowOff>
    </xdr:to>
    <xdr:sp macro="[0]!abrir_cadastro" textlink="">
      <xdr:nvSpPr>
        <xdr:cNvPr id="18" name="Retângulo: Cantos Arredondados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E620E10-3700-4C74-80F6-A85E5704EE38}"/>
            </a:ext>
          </a:extLst>
        </xdr:cNvPr>
        <xdr:cNvSpPr/>
      </xdr:nvSpPr>
      <xdr:spPr>
        <a:xfrm>
          <a:off x="13356773" y="3947032"/>
          <a:ext cx="2305210" cy="555172"/>
        </a:xfrm>
        <a:prstGeom prst="roundRect">
          <a:avLst/>
        </a:prstGeom>
        <a:ln w="28575">
          <a:solidFill>
            <a:schemeClr val="accent4"/>
          </a:solidFill>
        </a:ln>
      </xdr:spPr>
      <xdr:style>
        <a:lnRef idx="2">
          <a:schemeClr val="accent1">
            <a:shade val="15000"/>
          </a:schemeClr>
        </a:lnRef>
        <a:fillRef idx="1003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ACESSAR ESTOQUE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2561</xdr:colOff>
      <xdr:row>2</xdr:row>
      <xdr:rowOff>125186</xdr:rowOff>
    </xdr:from>
    <xdr:to>
      <xdr:col>12</xdr:col>
      <xdr:colOff>8966</xdr:colOff>
      <xdr:row>4</xdr:row>
      <xdr:rowOff>11206</xdr:rowOff>
    </xdr:to>
    <xdr:sp macro="[0]!abrir_cadastro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FE6C418-9136-4822-B513-FDCD7D0EFB07}"/>
            </a:ext>
          </a:extLst>
        </xdr:cNvPr>
        <xdr:cNvSpPr/>
      </xdr:nvSpPr>
      <xdr:spPr>
        <a:xfrm>
          <a:off x="7519147" y="495300"/>
          <a:ext cx="1965833" cy="256135"/>
        </a:xfrm>
        <a:prstGeom prst="roundRect">
          <a:avLst/>
        </a:prstGeom>
        <a:ln w="28575">
          <a:solidFill>
            <a:schemeClr val="accent4"/>
          </a:solidFill>
        </a:ln>
      </xdr:spPr>
      <xdr:style>
        <a:lnRef idx="2">
          <a:schemeClr val="accent1">
            <a:shade val="15000"/>
          </a:schemeClr>
        </a:lnRef>
        <a:fillRef idx="1003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ACESSAR </a:t>
          </a:r>
          <a:r>
            <a:rPr lang="pt-BR" sz="1100" baseline="0"/>
            <a:t>VENDAS</a:t>
          </a:r>
          <a:endParaRPr lang="pt-BR" sz="1100"/>
        </a:p>
      </xdr:txBody>
    </xdr:sp>
    <xdr:clientData/>
  </xdr:twoCellAnchor>
  <xdr:twoCellAnchor>
    <xdr:from>
      <xdr:col>9</xdr:col>
      <xdr:colOff>12166</xdr:colOff>
      <xdr:row>5</xdr:row>
      <xdr:rowOff>13128</xdr:rowOff>
    </xdr:from>
    <xdr:to>
      <xdr:col>12</xdr:col>
      <xdr:colOff>18571</xdr:colOff>
      <xdr:row>6</xdr:row>
      <xdr:rowOff>84206</xdr:rowOff>
    </xdr:to>
    <xdr:sp macro="[0]!abrir_cadastro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7A94E81-DF2A-4465-B376-EFEABDE1D004}"/>
            </a:ext>
          </a:extLst>
        </xdr:cNvPr>
        <xdr:cNvSpPr/>
      </xdr:nvSpPr>
      <xdr:spPr>
        <a:xfrm>
          <a:off x="7528752" y="938414"/>
          <a:ext cx="1965833" cy="256135"/>
        </a:xfrm>
        <a:prstGeom prst="roundRect">
          <a:avLst/>
        </a:prstGeom>
        <a:ln w="28575">
          <a:solidFill>
            <a:schemeClr val="accent4"/>
          </a:solidFill>
        </a:ln>
      </xdr:spPr>
      <xdr:style>
        <a:lnRef idx="2">
          <a:schemeClr val="accent1">
            <a:shade val="15000"/>
          </a:schemeClr>
        </a:lnRef>
        <a:fillRef idx="1003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ACESSAR ANÁLISES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H23"/>
  <sheetViews>
    <sheetView showGridLines="0" zoomScale="85" zoomScaleNormal="85" workbookViewId="0"/>
  </sheetViews>
  <sheetFormatPr defaultRowHeight="14.6" x14ac:dyDescent="0.4"/>
  <cols>
    <col min="2" max="2" width="28.69140625" style="9" customWidth="1"/>
    <col min="3" max="3" width="19.15234375" style="9" customWidth="1"/>
    <col min="4" max="4" width="16.15234375" style="9" customWidth="1"/>
    <col min="5" max="5" width="12.61328125" style="10" bestFit="1" customWidth="1"/>
  </cols>
  <sheetData>
    <row r="1" spans="1:8" ht="15.9" x14ac:dyDescent="0.45">
      <c r="A1" s="2"/>
      <c r="B1" s="4"/>
      <c r="C1" s="4"/>
      <c r="D1" s="4"/>
      <c r="E1" s="5"/>
      <c r="F1" s="1"/>
      <c r="G1" s="1"/>
      <c r="H1" s="1"/>
    </row>
    <row r="2" spans="1:8" x14ac:dyDescent="0.4">
      <c r="A2" s="1"/>
      <c r="B2" s="4"/>
      <c r="C2" s="4"/>
      <c r="D2" s="4"/>
      <c r="E2" s="5"/>
      <c r="F2" s="1"/>
      <c r="G2" s="1"/>
      <c r="H2" s="1"/>
    </row>
    <row r="3" spans="1:8" x14ac:dyDescent="0.4">
      <c r="A3" s="1"/>
      <c r="B3" s="4"/>
      <c r="C3" s="4"/>
      <c r="D3" s="4"/>
      <c r="E3" s="5"/>
      <c r="F3" s="1"/>
      <c r="G3" s="1"/>
      <c r="H3" s="1"/>
    </row>
    <row r="4" spans="1:8" x14ac:dyDescent="0.4">
      <c r="A4" s="1"/>
      <c r="B4" s="4"/>
      <c r="C4" s="4"/>
      <c r="D4" s="4"/>
      <c r="E4" s="5"/>
      <c r="F4" s="1"/>
      <c r="G4" s="1"/>
      <c r="H4" s="1"/>
    </row>
    <row r="5" spans="1:8" x14ac:dyDescent="0.4">
      <c r="A5" s="1"/>
      <c r="B5" s="4"/>
      <c r="C5" s="4"/>
      <c r="D5" s="4"/>
      <c r="E5" s="5"/>
      <c r="F5" s="1"/>
      <c r="G5" s="1"/>
      <c r="H5" s="1"/>
    </row>
    <row r="7" spans="1:8" x14ac:dyDescent="0.4">
      <c r="B7" s="6" t="s">
        <v>0</v>
      </c>
      <c r="C7" s="7" t="s">
        <v>1</v>
      </c>
      <c r="D7" s="7" t="s">
        <v>3</v>
      </c>
      <c r="E7" s="8" t="s">
        <v>2</v>
      </c>
    </row>
    <row r="8" spans="1:8" x14ac:dyDescent="0.4">
      <c r="B8" s="9" t="s">
        <v>15</v>
      </c>
      <c r="C8" s="9" t="s">
        <v>4</v>
      </c>
      <c r="D8" s="9" t="s">
        <v>5</v>
      </c>
      <c r="E8" s="10">
        <v>1500</v>
      </c>
    </row>
    <row r="9" spans="1:8" x14ac:dyDescent="0.4">
      <c r="B9" s="9" t="s">
        <v>16</v>
      </c>
      <c r="C9" s="9" t="s">
        <v>6</v>
      </c>
      <c r="D9" s="9" t="s">
        <v>5</v>
      </c>
      <c r="E9" s="10">
        <v>2300</v>
      </c>
    </row>
    <row r="10" spans="1:8" x14ac:dyDescent="0.4">
      <c r="B10" s="9" t="s">
        <v>17</v>
      </c>
      <c r="C10" s="9" t="s">
        <v>7</v>
      </c>
      <c r="D10" s="9" t="s">
        <v>8</v>
      </c>
      <c r="E10" s="10">
        <v>5000</v>
      </c>
    </row>
    <row r="11" spans="1:8" x14ac:dyDescent="0.4">
      <c r="B11" s="9" t="s">
        <v>18</v>
      </c>
      <c r="C11" s="9" t="s">
        <v>6</v>
      </c>
      <c r="D11" s="9" t="s">
        <v>5</v>
      </c>
      <c r="E11" s="10">
        <v>2400</v>
      </c>
    </row>
    <row r="12" spans="1:8" x14ac:dyDescent="0.4">
      <c r="B12" s="9" t="s">
        <v>19</v>
      </c>
      <c r="C12" s="9" t="s">
        <v>9</v>
      </c>
      <c r="D12" s="9" t="s">
        <v>8</v>
      </c>
      <c r="E12" s="10">
        <v>4000</v>
      </c>
    </row>
    <row r="13" spans="1:8" x14ac:dyDescent="0.4">
      <c r="B13" s="9" t="s">
        <v>18</v>
      </c>
      <c r="C13" s="9" t="s">
        <v>9</v>
      </c>
      <c r="D13" s="9" t="s">
        <v>14</v>
      </c>
      <c r="E13" s="10">
        <v>7000</v>
      </c>
    </row>
    <row r="14" spans="1:8" x14ac:dyDescent="0.4">
      <c r="B14" s="9" t="s">
        <v>15</v>
      </c>
      <c r="C14" s="9" t="s">
        <v>4</v>
      </c>
      <c r="D14" s="9" t="s">
        <v>13</v>
      </c>
      <c r="E14" s="10">
        <v>3200</v>
      </c>
    </row>
    <row r="15" spans="1:8" x14ac:dyDescent="0.4">
      <c r="B15" s="9" t="s">
        <v>16</v>
      </c>
      <c r="C15" s="9" t="s">
        <v>9</v>
      </c>
      <c r="D15" s="9" t="s">
        <v>13</v>
      </c>
      <c r="E15" s="10">
        <v>10000</v>
      </c>
    </row>
    <row r="16" spans="1:8" x14ac:dyDescent="0.4">
      <c r="B16" s="9" t="s">
        <v>18</v>
      </c>
      <c r="C16" s="9" t="s">
        <v>7</v>
      </c>
      <c r="D16" s="9" t="s">
        <v>14</v>
      </c>
      <c r="E16" s="10">
        <v>3800</v>
      </c>
    </row>
    <row r="17" spans="2:5" x14ac:dyDescent="0.4">
      <c r="B17" s="9" t="s">
        <v>17</v>
      </c>
      <c r="C17" s="9" t="s">
        <v>4</v>
      </c>
      <c r="D17" s="9" t="s">
        <v>8</v>
      </c>
      <c r="E17" s="10">
        <v>4000</v>
      </c>
    </row>
    <row r="18" spans="2:5" x14ac:dyDescent="0.4">
      <c r="B18" s="9" t="s">
        <v>17</v>
      </c>
      <c r="C18" s="9" t="s">
        <v>4</v>
      </c>
      <c r="D18" s="9" t="s">
        <v>5</v>
      </c>
      <c r="E18" s="10">
        <v>6000</v>
      </c>
    </row>
    <row r="19" spans="2:5" x14ac:dyDescent="0.4">
      <c r="B19" s="9" t="s">
        <v>19</v>
      </c>
      <c r="C19" s="9" t="s">
        <v>4</v>
      </c>
      <c r="D19" s="9" t="s">
        <v>14</v>
      </c>
      <c r="E19" s="10">
        <v>4600</v>
      </c>
    </row>
    <row r="20" spans="2:5" x14ac:dyDescent="0.4">
      <c r="B20" s="9" t="s">
        <v>16</v>
      </c>
      <c r="C20" s="9" t="s">
        <v>9</v>
      </c>
      <c r="D20" s="9" t="s">
        <v>13</v>
      </c>
      <c r="E20" s="10">
        <v>8800</v>
      </c>
    </row>
    <row r="21" spans="2:5" x14ac:dyDescent="0.4">
      <c r="B21" s="9" t="s">
        <v>17</v>
      </c>
      <c r="C21" s="9" t="s">
        <v>9</v>
      </c>
      <c r="D21" s="9" t="s">
        <v>5</v>
      </c>
      <c r="E21" s="10">
        <v>5700</v>
      </c>
    </row>
    <row r="22" spans="2:5" x14ac:dyDescent="0.4">
      <c r="B22" s="9" t="s">
        <v>18</v>
      </c>
      <c r="C22" s="9" t="s">
        <v>6</v>
      </c>
      <c r="D22" s="9" t="s">
        <v>8</v>
      </c>
      <c r="E22" s="10">
        <v>6000</v>
      </c>
    </row>
    <row r="23" spans="2:5" x14ac:dyDescent="0.4">
      <c r="B23" s="9" t="s">
        <v>16</v>
      </c>
      <c r="C23" s="9" t="s">
        <v>9</v>
      </c>
      <c r="D23" s="9" t="s">
        <v>13</v>
      </c>
      <c r="E23" s="10">
        <v>12000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967F7-21AD-4CCE-A257-AED405082B2D}">
  <sheetPr codeName="Planilha1"/>
  <dimension ref="B3:U23"/>
  <sheetViews>
    <sheetView showGridLines="0" zoomScale="50" zoomScaleNormal="50" workbookViewId="0">
      <selection activeCell="D3" sqref="D3"/>
    </sheetView>
  </sheetViews>
  <sheetFormatPr defaultRowHeight="14.6" x14ac:dyDescent="0.4"/>
  <cols>
    <col min="1" max="1" width="3" customWidth="1"/>
    <col min="2" max="2" width="26.4609375" bestFit="1" customWidth="1"/>
    <col min="3" max="3" width="13.3046875" style="10" bestFit="1" customWidth="1"/>
    <col min="4" max="4" width="19.921875" bestFit="1" customWidth="1"/>
    <col min="5" max="5" width="3.07421875" customWidth="1"/>
    <col min="11" max="11" width="8.3828125" customWidth="1"/>
    <col min="12" max="12" width="4.23046875" customWidth="1"/>
    <col min="20" max="20" width="17.921875" bestFit="1" customWidth="1"/>
    <col min="21" max="21" width="13.3046875" bestFit="1" customWidth="1"/>
  </cols>
  <sheetData>
    <row r="3" spans="2:21" x14ac:dyDescent="0.4">
      <c r="B3" s="13" t="s">
        <v>10</v>
      </c>
      <c r="C3" s="14">
        <f>SUM(Vendas!E:E)</f>
        <v>86300</v>
      </c>
    </row>
    <row r="4" spans="2:21" x14ac:dyDescent="0.4">
      <c r="B4" s="13" t="s">
        <v>11</v>
      </c>
      <c r="C4" s="14">
        <f>AVERAGE(Vendas!E:E)</f>
        <v>5393.75</v>
      </c>
    </row>
    <row r="5" spans="2:21" x14ac:dyDescent="0.4">
      <c r="T5" s="16"/>
    </row>
    <row r="6" spans="2:21" x14ac:dyDescent="0.4">
      <c r="B6" s="25" t="s">
        <v>12</v>
      </c>
      <c r="C6" s="25"/>
      <c r="D6" s="15" t="s">
        <v>22</v>
      </c>
      <c r="T6" s="26" t="s">
        <v>31</v>
      </c>
      <c r="U6" s="26"/>
    </row>
    <row r="7" spans="2:21" x14ac:dyDescent="0.4">
      <c r="B7" s="13" t="s">
        <v>13</v>
      </c>
      <c r="C7" s="14">
        <f ca="1">SUMIF(Vendas!D:E,Análises!B7,Vendas!E:E)</f>
        <v>34000</v>
      </c>
      <c r="D7" s="12">
        <f>COUNTIF(Vendas!D:E,Análises!B7)</f>
        <v>4</v>
      </c>
      <c r="T7" s="16"/>
    </row>
    <row r="8" spans="2:21" x14ac:dyDescent="0.4">
      <c r="B8" s="13" t="s">
        <v>5</v>
      </c>
      <c r="C8" s="14">
        <f ca="1">SUMIF(Vendas!D:E,Análises!B8,Vendas!E:E)</f>
        <v>17900</v>
      </c>
      <c r="D8" s="12">
        <f>COUNTIF(Vendas!D:E,Análises!B8)</f>
        <v>5</v>
      </c>
      <c r="T8" s="23" t="s">
        <v>32</v>
      </c>
      <c r="U8" s="24">
        <f>Estoque!D8</f>
        <v>78300</v>
      </c>
    </row>
    <row r="9" spans="2:21" x14ac:dyDescent="0.4">
      <c r="B9" s="13" t="s">
        <v>14</v>
      </c>
      <c r="C9" s="14">
        <f ca="1">SUMIF(Vendas!D:E,Análises!B9,Vendas!E:E)</f>
        <v>15400</v>
      </c>
      <c r="D9" s="12">
        <f>COUNTIF(Vendas!D:E,Análises!B9)</f>
        <v>3</v>
      </c>
      <c r="T9" s="16"/>
    </row>
    <row r="10" spans="2:21" x14ac:dyDescent="0.4">
      <c r="B10" s="13" t="s">
        <v>8</v>
      </c>
      <c r="C10" s="14">
        <f ca="1">SUMIF(Vendas!D:E,Análises!B10,Vendas!E:E)</f>
        <v>19000</v>
      </c>
      <c r="D10" s="12">
        <f>COUNTIF(Vendas!D:E,Análises!B10)</f>
        <v>4</v>
      </c>
      <c r="T10" s="23" t="s">
        <v>33</v>
      </c>
      <c r="U10" s="24">
        <f>C3</f>
        <v>86300</v>
      </c>
    </row>
    <row r="11" spans="2:21" x14ac:dyDescent="0.4">
      <c r="T11" s="16"/>
    </row>
    <row r="12" spans="2:21" x14ac:dyDescent="0.4">
      <c r="B12" s="25" t="s">
        <v>20</v>
      </c>
      <c r="C12" s="25"/>
      <c r="D12" s="15" t="s">
        <v>23</v>
      </c>
      <c r="T12" s="23" t="s">
        <v>30</v>
      </c>
      <c r="U12" s="24">
        <f>U10-U8</f>
        <v>8000</v>
      </c>
    </row>
    <row r="13" spans="2:21" ht="15" thickBot="1" x14ac:dyDescent="0.45">
      <c r="B13" s="13" t="s">
        <v>6</v>
      </c>
      <c r="C13" s="14">
        <f ca="1">SUMIF(Vendas!C:E,Análises!B13,Vendas!E:E)</f>
        <v>10700</v>
      </c>
      <c r="D13" s="12">
        <f>COUNTIF(Vendas!C:E,Análises!B13)</f>
        <v>3</v>
      </c>
      <c r="T13" s="16"/>
    </row>
    <row r="14" spans="2:21" x14ac:dyDescent="0.4">
      <c r="B14" s="13" t="s">
        <v>9</v>
      </c>
      <c r="C14" s="14">
        <f ca="1">SUMIF(Vendas!C:E,Análises!B14,Vendas!E:E)</f>
        <v>47500</v>
      </c>
      <c r="D14" s="12">
        <f>COUNTIF(Vendas!C:E,Análises!B14)</f>
        <v>6</v>
      </c>
      <c r="S14" t="s">
        <v>34</v>
      </c>
      <c r="T14" s="27" t="str">
        <f>IF(U12&gt;=0,"LUCRO","PREJUÍZO")</f>
        <v>LUCRO</v>
      </c>
      <c r="U14" s="28"/>
    </row>
    <row r="15" spans="2:21" ht="15" thickBot="1" x14ac:dyDescent="0.45">
      <c r="B15" s="13" t="s">
        <v>4</v>
      </c>
      <c r="C15" s="14">
        <f ca="1">SUMIF(Vendas!C:E,Análises!B15,Vendas!E:E)</f>
        <v>19300</v>
      </c>
      <c r="D15" s="12">
        <f>COUNTIF(Vendas!C:E,Análises!B15)</f>
        <v>5</v>
      </c>
      <c r="T15" s="29"/>
      <c r="U15" s="30"/>
    </row>
    <row r="16" spans="2:21" x14ac:dyDescent="0.4">
      <c r="B16" s="13" t="s">
        <v>7</v>
      </c>
      <c r="C16" s="14">
        <f ca="1">SUMIF(Vendas!C:E,Análises!B16,Vendas!E:E)</f>
        <v>8800</v>
      </c>
      <c r="D16" s="12">
        <f>COUNTIF(Vendas!C:E,Análises!B16)</f>
        <v>2</v>
      </c>
    </row>
    <row r="18" spans="2:15" x14ac:dyDescent="0.4">
      <c r="B18" s="25" t="s">
        <v>21</v>
      </c>
      <c r="C18" s="25"/>
      <c r="D18" s="15" t="s">
        <v>22</v>
      </c>
    </row>
    <row r="19" spans="2:15" x14ac:dyDescent="0.4">
      <c r="B19" s="13" t="s">
        <v>15</v>
      </c>
      <c r="C19" s="14">
        <f ca="1">SUMIF(Vendas!B:E,Análises!B19,Vendas!E:E)</f>
        <v>4700</v>
      </c>
      <c r="D19" s="12">
        <f>COUNTIF(Vendas!B:E,Análises!B19)</f>
        <v>2</v>
      </c>
      <c r="O19" s="17"/>
    </row>
    <row r="20" spans="2:15" x14ac:dyDescent="0.4">
      <c r="B20" s="13" t="s">
        <v>16</v>
      </c>
      <c r="C20" s="14">
        <f ca="1">SUMIF(Vendas!B:E,Análises!B20,Vendas!E:E)</f>
        <v>33100</v>
      </c>
      <c r="D20" s="12">
        <f>COUNTIF(Vendas!B:E,Análises!B20)</f>
        <v>4</v>
      </c>
    </row>
    <row r="21" spans="2:15" x14ac:dyDescent="0.4">
      <c r="B21" s="13" t="s">
        <v>17</v>
      </c>
      <c r="C21" s="14">
        <f ca="1">SUMIF(Vendas!B:E,Análises!B21,Vendas!E:E)</f>
        <v>20700</v>
      </c>
      <c r="D21" s="12">
        <f>COUNTIF(Vendas!B:E,Análises!B21)</f>
        <v>4</v>
      </c>
    </row>
    <row r="22" spans="2:15" x14ac:dyDescent="0.4">
      <c r="B22" s="13" t="s">
        <v>18</v>
      </c>
      <c r="C22" s="14">
        <f ca="1">SUMIF(Vendas!B:E,Análises!B22,Vendas!E:E)</f>
        <v>19200</v>
      </c>
      <c r="D22" s="12">
        <f>COUNTIF(Vendas!B:E,Análises!B22)</f>
        <v>4</v>
      </c>
    </row>
    <row r="23" spans="2:15" x14ac:dyDescent="0.4">
      <c r="B23" s="13" t="s">
        <v>19</v>
      </c>
      <c r="C23" s="14">
        <f ca="1">SUMIF(Vendas!B:E,Análises!B23,Vendas!E:E)</f>
        <v>8600</v>
      </c>
      <c r="D23" s="12">
        <f>COUNTIF(Vendas!B:E,Análises!B23)</f>
        <v>2</v>
      </c>
    </row>
  </sheetData>
  <mergeCells count="5">
    <mergeCell ref="B6:C6"/>
    <mergeCell ref="B12:C12"/>
    <mergeCell ref="B18:C18"/>
    <mergeCell ref="T6:U6"/>
    <mergeCell ref="T14:U15"/>
  </mergeCells>
  <conditionalFormatting sqref="U12">
    <cfRule type="cellIs" dxfId="7" priority="4" operator="lessThan">
      <formula>0</formula>
    </cfRule>
    <cfRule type="cellIs" dxfId="6" priority="3" operator="greaterThan">
      <formula>0</formula>
    </cfRule>
  </conditionalFormatting>
  <conditionalFormatting sqref="T14:U15">
    <cfRule type="containsText" dxfId="5" priority="2" operator="containsText" text="PREJUÍZO">
      <formula>NOT(ISERROR(SEARCH("PREJUÍZO",T14)))</formula>
    </cfRule>
    <cfRule type="containsText" dxfId="4" priority="1" operator="containsText" text="LUCRO">
      <formula>NOT(ISERROR(SEARCH("LUCRO",T14)))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EADA4-923D-4A0E-B124-9A5F1061EB2A}">
  <sheetPr codeName="Planilha2"/>
  <dimension ref="A1:H9"/>
  <sheetViews>
    <sheetView showGridLines="0" tabSelected="1" workbookViewId="0">
      <selection activeCell="K10" sqref="K10"/>
    </sheetView>
  </sheetViews>
  <sheetFormatPr defaultRowHeight="14.6" x14ac:dyDescent="0.4"/>
  <cols>
    <col min="1" max="1" width="11.23046875" bestFit="1" customWidth="1"/>
    <col min="2" max="2" width="11.61328125" style="3" bestFit="1" customWidth="1"/>
    <col min="3" max="3" width="20.921875" bestFit="1" customWidth="1"/>
    <col min="4" max="4" width="12.61328125" bestFit="1" customWidth="1"/>
    <col min="5" max="5" width="3.84375" customWidth="1"/>
    <col min="7" max="7" width="12.3046875" bestFit="1" customWidth="1"/>
    <col min="8" max="8" width="15.23046875" customWidth="1"/>
  </cols>
  <sheetData>
    <row r="1" spans="1:8" x14ac:dyDescent="0.4">
      <c r="A1" s="26" t="s">
        <v>24</v>
      </c>
      <c r="B1" s="26"/>
      <c r="C1" s="26"/>
      <c r="D1" s="26"/>
      <c r="E1" s="26"/>
      <c r="F1" s="26"/>
      <c r="G1" s="26"/>
      <c r="H1" s="26"/>
    </row>
    <row r="2" spans="1:8" x14ac:dyDescent="0.4">
      <c r="A2" s="26"/>
      <c r="B2" s="26"/>
      <c r="C2" s="26"/>
      <c r="D2" s="26"/>
      <c r="E2" s="26"/>
      <c r="F2" s="26"/>
      <c r="G2" s="26"/>
      <c r="H2" s="26"/>
    </row>
    <row r="3" spans="1:8" x14ac:dyDescent="0.4">
      <c r="B3" s="19" t="s">
        <v>25</v>
      </c>
      <c r="C3" s="18" t="s">
        <v>35</v>
      </c>
      <c r="D3" s="18" t="s">
        <v>26</v>
      </c>
      <c r="E3" s="18"/>
      <c r="F3" s="18" t="s">
        <v>27</v>
      </c>
      <c r="G3" s="18" t="s">
        <v>28</v>
      </c>
      <c r="H3" s="18" t="s">
        <v>29</v>
      </c>
    </row>
    <row r="4" spans="1:8" x14ac:dyDescent="0.4">
      <c r="A4" s="16" t="str">
        <f>Análises!B13</f>
        <v>Computador</v>
      </c>
      <c r="B4" s="20">
        <v>1200</v>
      </c>
      <c r="C4" s="11">
        <v>4</v>
      </c>
      <c r="D4" s="21">
        <f>C4*B4</f>
        <v>4800</v>
      </c>
      <c r="F4" s="11">
        <f>Análises!D13</f>
        <v>3</v>
      </c>
      <c r="G4" s="11">
        <f>C4-F4</f>
        <v>1</v>
      </c>
      <c r="H4" s="12" t="str">
        <f>IF(G4&lt;=2,"REPOR ESTOQUE","OK")</f>
        <v>REPOR ESTOQUE</v>
      </c>
    </row>
    <row r="5" spans="1:8" x14ac:dyDescent="0.4">
      <c r="A5" s="16" t="str">
        <f>Análises!B14</f>
        <v>iPhone</v>
      </c>
      <c r="B5" s="20">
        <v>2000</v>
      </c>
      <c r="C5" s="11">
        <v>20</v>
      </c>
      <c r="D5" s="21">
        <f t="shared" ref="D5:D7" si="0">C5*B5</f>
        <v>40000</v>
      </c>
      <c r="F5" s="11">
        <f>Análises!D14</f>
        <v>6</v>
      </c>
      <c r="G5" s="11">
        <f t="shared" ref="G5:G7" si="1">C5-F5</f>
        <v>14</v>
      </c>
      <c r="H5" s="12" t="str">
        <f t="shared" ref="H5:H7" si="2">IF(G5&lt;=2,"REPOR ESTOQUE","OK")</f>
        <v>OK</v>
      </c>
    </row>
    <row r="6" spans="1:8" x14ac:dyDescent="0.4">
      <c r="A6" s="16" t="str">
        <f>Análises!B15</f>
        <v>Android</v>
      </c>
      <c r="B6" s="20">
        <v>1100</v>
      </c>
      <c r="C6" s="11">
        <v>15</v>
      </c>
      <c r="D6" s="21">
        <f t="shared" si="0"/>
        <v>16500</v>
      </c>
      <c r="F6" s="11">
        <f>Análises!D15</f>
        <v>5</v>
      </c>
      <c r="G6" s="11">
        <f t="shared" si="1"/>
        <v>10</v>
      </c>
      <c r="H6" s="12" t="str">
        <f t="shared" si="2"/>
        <v>OK</v>
      </c>
    </row>
    <row r="7" spans="1:8" x14ac:dyDescent="0.4">
      <c r="A7" s="16" t="str">
        <f>Análises!B16</f>
        <v>I7 Gamer</v>
      </c>
      <c r="B7" s="20">
        <v>1700</v>
      </c>
      <c r="C7" s="11">
        <v>10</v>
      </c>
      <c r="D7" s="21">
        <f t="shared" si="0"/>
        <v>17000</v>
      </c>
      <c r="F7" s="11">
        <f>Análises!D16</f>
        <v>2</v>
      </c>
      <c r="G7" s="11">
        <f t="shared" si="1"/>
        <v>8</v>
      </c>
      <c r="H7" s="12" t="str">
        <f t="shared" si="2"/>
        <v>OK</v>
      </c>
    </row>
    <row r="8" spans="1:8" x14ac:dyDescent="0.4">
      <c r="C8" s="18" t="s">
        <v>30</v>
      </c>
      <c r="D8" s="22">
        <f>SUM(D4:D7)</f>
        <v>78300</v>
      </c>
    </row>
    <row r="9" spans="1:8" x14ac:dyDescent="0.4">
      <c r="C9" s="18"/>
    </row>
  </sheetData>
  <mergeCells count="1">
    <mergeCell ref="A1:H2"/>
  </mergeCells>
  <conditionalFormatting sqref="H4:H7">
    <cfRule type="containsText" dxfId="3" priority="4" operator="containsText" text="REPOR ESTOQUE">
      <formula>NOT(ISERROR(SEARCH("REPOR ESTOQUE",H4)))</formula>
    </cfRule>
  </conditionalFormatting>
  <conditionalFormatting sqref="H6">
    <cfRule type="containsText" dxfId="2" priority="3" operator="containsText" text="OK">
      <formula>NOT(ISERROR(SEARCH("OK",H6)))</formula>
    </cfRule>
  </conditionalFormatting>
  <conditionalFormatting sqref="H5">
    <cfRule type="containsText" dxfId="1" priority="2" operator="containsText" text="OK">
      <formula>NOT(ISERROR(SEARCH("OK",H5)))</formula>
    </cfRule>
  </conditionalFormatting>
  <conditionalFormatting sqref="H7">
    <cfRule type="containsText" dxfId="0" priority="1" operator="containsText" text="OK">
      <formula>NOT(ISERROR(SEARCH("OK",H7)))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Vendas</vt:lpstr>
      <vt:lpstr>Análises</vt:lpstr>
      <vt:lpstr>Estoque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Wagner</dc:creator>
  <cp:lastModifiedBy>Fábio Vilela</cp:lastModifiedBy>
  <dcterms:created xsi:type="dcterms:W3CDTF">2022-10-06T16:26:33Z</dcterms:created>
  <dcterms:modified xsi:type="dcterms:W3CDTF">2024-04-22T18:43:32Z</dcterms:modified>
</cp:coreProperties>
</file>